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sahel.saba\Desktop\"/>
    </mc:Choice>
  </mc:AlternateContent>
  <xr:revisionPtr revIDLastSave="0" documentId="13_ncr:1_{506C5EB8-4BFE-4542-9652-0FF1649DB4D6}" xr6:coauthVersionLast="47" xr6:coauthVersionMax="47" xr10:uidLastSave="{00000000-0000-0000-0000-000000000000}"/>
  <bookViews>
    <workbookView xWindow="-28920" yWindow="-1095" windowWidth="29040" windowHeight="15720" tabRatio="907" activeTab="1" xr2:uid="{00000000-000D-0000-FFFF-FFFF00000000}"/>
  </bookViews>
  <sheets>
    <sheet name="READ ME &amp; Method" sheetId="1" r:id="rId1"/>
    <sheet name="Codebook" sheetId="2" r:id="rId2"/>
    <sheet name="Coding Form (Seg x Dim)" sheetId="3" r:id="rId3"/>
    <sheet name="Coding Book - Detail" sheetId="4" r:id="rId4"/>
    <sheet name="Coverage Matrix" sheetId="5" r:id="rId5"/>
    <sheet name="Frequency &amp; Themes" sheetId="6" r:id="rId6"/>
    <sheet name="PRISMA Search Log" sheetId="7" r:id="rId7"/>
    <sheet name="PRISMA Screening Log" sheetId="8" r:id="rId8"/>
  </sheets>
  <definedNames>
    <definedName name="_xlnm._FilterDatabase" localSheetId="3" hidden="1">'Coding Book - Detail'!$A$2:$H$86</definedName>
    <definedName name="_xlnm._FilterDatabase" localSheetId="2" hidden="1">'Coding Form (Seg x Dim)'!$A$3:$K$74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5" i="8" l="1"/>
  <c r="D11" i="7"/>
  <c r="C11" i="7"/>
  <c r="C35" i="6"/>
  <c r="C34" i="6"/>
  <c r="C33" i="6"/>
  <c r="C32" i="6"/>
  <c r="C31" i="6"/>
  <c r="C30" i="6"/>
  <c r="C29" i="6"/>
  <c r="C28" i="6"/>
  <c r="C27" i="6"/>
  <c r="C26" i="6"/>
  <c r="C25" i="6"/>
  <c r="C24" i="6"/>
  <c r="C23" i="6"/>
  <c r="C22" i="6"/>
  <c r="C21" i="6"/>
  <c r="C20" i="6"/>
  <c r="C19" i="6"/>
  <c r="C18" i="6"/>
  <c r="C17" i="6"/>
  <c r="C16" i="6"/>
  <c r="C15" i="6"/>
  <c r="C14" i="6"/>
  <c r="C13" i="6"/>
  <c r="C12" i="6"/>
  <c r="C11" i="6"/>
  <c r="C10" i="6"/>
  <c r="C9" i="6"/>
  <c r="C8" i="6"/>
  <c r="C7" i="6"/>
  <c r="C6" i="6"/>
  <c r="C5" i="6"/>
  <c r="C4" i="6"/>
  <c r="C3" i="6"/>
  <c r="F60" i="2"/>
  <c r="F58" i="2"/>
  <c r="F57" i="2"/>
  <c r="F56" i="2"/>
  <c r="F55" i="2"/>
  <c r="F54" i="2"/>
  <c r="F53" i="2"/>
  <c r="F52" i="2"/>
  <c r="F47" i="2"/>
  <c r="F46" i="2"/>
  <c r="F45" i="2"/>
  <c r="F44" i="2"/>
  <c r="F43" i="2"/>
  <c r="F38" i="2"/>
  <c r="F37" i="2"/>
  <c r="F36" i="2"/>
  <c r="F35" i="2"/>
  <c r="F30" i="2"/>
  <c r="F29" i="2"/>
  <c r="F28" i="2"/>
  <c r="F27" i="2"/>
  <c r="F22" i="2"/>
  <c r="F21" i="2"/>
  <c r="F20" i="2"/>
  <c r="F19" i="2"/>
  <c r="F18" i="2"/>
  <c r="F17" i="2"/>
  <c r="F16" i="2"/>
  <c r="F15" i="2"/>
  <c r="F10" i="2"/>
  <c r="F9" i="2"/>
  <c r="F8" i="2"/>
  <c r="F7"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C10" authorId="0" shapeId="0" xr:uid="{00000000-0006-0000-0600-000001000000}">
      <text>
        <r>
          <rPr>
            <sz val="10"/>
            <rFont val="Arial"/>
            <family val="2"/>
          </rPr>
          <t xml:space="preserve">[Threaded comment]
Your version of Excel allows you to read this threaded comment; however, any edits to it will get removed if the file is opened in a newer version of Excel. Learn more: https://go.microsoft.com/fwlink/?linkid=870924
Comment:
    Diningrat et al. (2025), Aljarrah et al. (2024), and Alouffi et al. (2021)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 authorId="0" shapeId="0" xr:uid="{00000000-0006-0000-0700-000001000000}">
      <text>
        <r>
          <rPr>
            <sz val="10"/>
            <rFont val="Arial"/>
            <family val="2"/>
          </rPr>
          <t>[Threaded comment]
Your version of Excel allows you to read this threaded comment; however, any edits to it will get removed if the file is opened in a newer version of Excel. Learn more: https://go.microsoft.com/fwlink/?linkid=870924
Comment:
    good
Reply:
    thanks</t>
        </r>
      </text>
    </comment>
  </commentList>
</comments>
</file>

<file path=xl/sharedStrings.xml><?xml version="1.0" encoding="utf-8"?>
<sst xmlns="http://schemas.openxmlformats.org/spreadsheetml/2006/main" count="1915" uniqueCount="542">
  <si>
    <t xml:space="preserve">CODING EVIDENCE WORKBOOK </t>
  </si>
  <si>
    <t>Coding approach (per Mayring)</t>
  </si>
  <si>
    <t>ABDUCTIVE qualitative content analysis (Mayring, 2014): the six DIMENSIONS (D1-D6) were fixed deductively a priori from the theoretical framework (my thesis Chapter 2). 
Within each dimension, an initial set of MUTUALLY EXCLUSIVE CODES was derived deductively from named field taxonomies (see Codebook, 'Grounding' and 'Origin' columns). 
Where segments revealed content the deductive set could not cover, extension codes were added (marked 'Abductive extension'), starting with an initial scheme and extending it on new findings = abductive coding.</t>
  </si>
  <si>
    <t>What a CODE is</t>
  </si>
  <si>
    <t>A code is a mutually exclusive category inside one dimension. 
Each segment receives exactly ONE code per relevant dimension, chosen from that dimension's predefined set (dropdown).
Dimensions the segment does not address are marked '-'.</t>
  </si>
  <si>
    <t>Unit of coding</t>
  </si>
  <si>
    <t>Segment / sentence level with page indication (not article level). 
Every code is attached to a verbatim quotation with its page reference and a written coding decision.</t>
  </si>
  <si>
    <t>Coverage (secondary attribute)</t>
  </si>
  <si>
    <t>Yes / Partial / No records HOW FULLY the source treats the dimension, per the operational criteria of my thesis Table 3.5. 
It is a separate, ordinal attribute alongside the categorical code, the code says WHAT the segment asserts; coverage says HOW COMPLETELY the dimension is addressed. 
Coverage feeds thesis Tables 4.2/4.3/4.4; codes feed the theme analysis.</t>
  </si>
  <si>
    <t>Themes</t>
  </si>
  <si>
    <t>Recurring code patterns roll up into the Governance Gap Taxonomy themes (AAG, CPCG, SRBG, CRPNG, FIAMG), in my thesis Table 4.5. See sheet 'Frequency &amp; Themes'.</t>
  </si>
  <si>
    <t>Sheets in this workbook</t>
  </si>
  <si>
    <t>1) Codebook: the code sets per dimension, with definitions, grounding taxonomy, origin (deductive/abductive), assignment rule, live segment counts.  
2) Coding Form (Segments x Dimensions): the layout adapted from the video suggested by my supervisor (one row per unique segment, one dropdown-coded column per dimension. ("How to create a coding form and extract data for a systematic review or meta-analysis" : https://www.youtube.com/watch?v=BfB37q5DvAY)   
3) Coding Book - Detail): one row per code assignment, with verbatim segment, page, coding decision, coverage.  
4) Coverage Matrix: study-level Yes/Partial/No (= my thesis Table 4.2 context).  
5) Frequency &amp; Themes: live code counts and code-to-theme mapping.  
6-7) PRISMA Search Log / Screening Log: identification, screening evidence</t>
  </si>
  <si>
    <t>Where the code definitions come from</t>
  </si>
  <si>
    <t>D1 &lt;- NIST SP 800-145 deployment models, extended per Ali et al. (2025) and Yeboah-Ofori et al. (2024).  
D2 &lt;- NIST CSF 2.0 GOVERN subcategories + ISO/IEC 27001 ISMS structure.  
D3 &lt;- NIST CSF 2.0 function taxonomy applied to enforcement controls - PROTECT / DETECT / RESPOND-RECOVER (NIST, 2024) - plus access-control mechanisms per NIST SP 800-210 (Hu et al., 2020).  
D4 &lt;- CSA v5 Shared Security Responsibility Model.  
D5 &lt;- NIST CSF 2.0 operational functions (ID/PR/DE/RS-RC) + CSPM per CSA v5.  
D6 &lt;- Cuzzocrea &amp; Belmerabet (2024) seven-topic IAM taxonomy + CSA v5 Domain 5 IdP/RP terminology. 
-&gt; All groundings are corpus sources, cited in the thesis.</t>
  </si>
  <si>
    <t>CODEBOOK - mutually exclusive codes within each dimension</t>
  </si>
  <si>
    <t># Segments = live count over 'Coding Book - Detail'. Zero-count codes are retained deliberately: they are part of the a-priori deductive sets.</t>
  </si>
  <si>
    <t>D1</t>
  </si>
  <si>
    <t>Multi-Cloud Environment Focus</t>
  </si>
  <si>
    <t>Grounding: NIST SP 800-145 cloud deployment models (Mell &amp; Grance, 2011 - thesis Ch. 2); multi-cloud split per Ali et al. (2025) multi/hybrid distinction and Yeboah-Ofori et al. (2024) operational labs</t>
  </si>
  <si>
    <t>Assignment rule (mutual exclusivity):</t>
  </si>
  <si>
    <t>Assign the most specific architecture the segment actually addresses: operational multi-cloud (D1.4) &gt; conceptual multi-cloud (D1.3) &gt; hybrid (D1.2) &gt; single/agnostic (D1.1). Exactly one code per segment.</t>
  </si>
  <si>
    <t>Code</t>
  </si>
  <si>
    <t>Code name</t>
  </si>
  <si>
    <t>Definition (what a segment with this code asserts)</t>
  </si>
  <si>
    <t>Grounding / origin</t>
  </si>
  <si>
    <t>Origin type</t>
  </si>
  <si>
    <t># Segments</t>
  </si>
  <si>
    <t>D1.1</t>
  </si>
  <si>
    <t>Single-cloud / architecture-agnostic</t>
  </si>
  <si>
    <t>Segment treats one cloud only, or is written provider-agnostically with no cross-provider content.</t>
  </si>
  <si>
    <t>Deductive (SP 800-145)</t>
  </si>
  <si>
    <t>Deductive</t>
  </si>
  <si>
    <t>D1.2</t>
  </si>
  <si>
    <t>Hybrid-cloud</t>
  </si>
  <si>
    <t>Segment addresses cloud + on-premises (hybrid) as the stated architecture.</t>
  </si>
  <si>
    <t>D1.3</t>
  </si>
  <si>
    <t>Multi-cloud - conceptual / review scope</t>
  </si>
  <si>
    <t>Multi-cloud is the review/survey scope or is acknowledged conceptually, without operating 2+ providers.</t>
  </si>
  <si>
    <t>Abductive extension (Ali et al., 2025)</t>
  </si>
  <si>
    <t>Abductive</t>
  </si>
  <si>
    <t>D1.4</t>
  </si>
  <si>
    <t>Multi-cloud - operational (2+ concurrent providers)</t>
  </si>
  <si>
    <t>Segment implements, benchmarks or evaluates 2+ concurrent public providers (e.g. Azure Arc + AWS EKS + GCP Anthos).</t>
  </si>
  <si>
    <t>Abductive extension (Yeboah-Ofori et al., 2024)</t>
  </si>
  <si>
    <t>D2</t>
  </si>
  <si>
    <t>Cloud Governance</t>
  </si>
  <si>
    <t>Grounding: NIST CSF 2.0 GOVERN-function subcategories (NIST, 2024); ISMS clause structure per ISO/IEC 27001:2022</t>
  </si>
  <si>
    <t>If the segment names a specific governance instrument, use the matching GV code (D2.OC/RM/RR/PO/OV/SC). If it presents a whole management system / framework, use D2.FW. If governance is referenced or posed as a challenge without a structure, use D2.X. Exactly one code per segment.</t>
  </si>
  <si>
    <t>D2.OC</t>
  </si>
  <si>
    <t>GV.OC Organizational Context</t>
  </si>
  <si>
    <t>Governance framed via organisational context/objectives.</t>
  </si>
  <si>
    <t>Deductive (NIST CSF GV.OC)</t>
  </si>
  <si>
    <t>D2.RM</t>
  </si>
  <si>
    <t>GV.RM Risk Mgmt Strategy</t>
  </si>
  <si>
    <t>Governance expressed as a risk-management strategy.</t>
  </si>
  <si>
    <t>Deductive (NIST CSF GV.RM)</t>
  </si>
  <si>
    <t>D2.RR</t>
  </si>
  <si>
    <t>GV.RR Roles, Responsibilities &amp; Authorities</t>
  </si>
  <si>
    <t>Governance via defined roles/responsibilities/authorities.</t>
  </si>
  <si>
    <t>Deductive (NIST CSF GV.RR)</t>
  </si>
  <si>
    <t>D2.PO</t>
  </si>
  <si>
    <t>GV.PO Policy (policy instrument)</t>
  </si>
  <si>
    <t>Governance via a defined security policy instrument / policy structure.</t>
  </si>
  <si>
    <t>Deductive (NIST CSF GV.PO)</t>
  </si>
  <si>
    <t>D2.OV</t>
  </si>
  <si>
    <t>GV.OV Oversight</t>
  </si>
  <si>
    <t>Governance via oversight / continuous evaluation.</t>
  </si>
  <si>
    <t>Deductive (NIST CSF GV.OV)</t>
  </si>
  <si>
    <t>D2.SC</t>
  </si>
  <si>
    <t>GV.SC Supply-Chain / Provider Relationships</t>
  </si>
  <si>
    <t>Governance of provider/supply-chain relationships.</t>
  </si>
  <si>
    <t>Deductive (NIST CSF GV.SC)</t>
  </si>
  <si>
    <t>D2.FW</t>
  </si>
  <si>
    <t>Holistic / whole-framework governance (ISMS-level)</t>
  </si>
  <si>
    <t>A whole governance framework or management-system structure (ISO 27001 clauses; the entire GOVERN function; a complete ISG framework).</t>
  </si>
  <si>
    <t>Abductive extension (ISO/IEC 27001 ISMS)</t>
  </si>
  <si>
    <t>D2.X</t>
  </si>
  <si>
    <t>Governance referenced / challenge documented, no framework</t>
  </si>
  <si>
    <t>Governance mentioned, or named as a challenge, without any framework or instrument being defined.</t>
  </si>
  <si>
    <t>Abductive extension (this corpus)</t>
  </si>
  <si>
    <t>D3</t>
  </si>
  <si>
    <t>Policy Enforcement</t>
  </si>
  <si>
    <t>Grounding: ISO/IEC 27001:2022 Annex A control-type attribute - preventive / detective / corrective (ISO/IEC, 2022); access-control mechanisms per NIST SP 800-210 (Hu et al., 2020)</t>
  </si>
  <si>
    <t>If a concrete enforcement mechanism is named, code its control type per the ISO/IEC 27001:2022 Annex A attribute (D3.1 preventive / D3.2 detective / D3.3 corrective - choose the dominant type). If policy is only specified or its need argued, use D3.4. Exactly one code per segment.</t>
  </si>
  <si>
    <t>D3.1</t>
  </si>
  <si>
    <t>Preventive control - access control, encryption, ABAC/RBAC</t>
  </si>
  <si>
    <t>A preventive enforcement control is named: access control, encryption, RBAC/ABAC, configuration control (Annex A control-type: preventive).</t>
  </si>
  <si>
    <t>Deductive (ISO 27001 Annex A)</t>
  </si>
  <si>
    <t>D3.2</t>
  </si>
  <si>
    <t>Detective control - monitoring, logging, audit</t>
  </si>
  <si>
    <t>A detective enforcement control is named: monitoring, logging, intrusion detection, audit (Annex A control-type: detective).</t>
  </si>
  <si>
    <t>D3.3</t>
  </si>
  <si>
    <t>Corrective control - remediation, response</t>
  </si>
  <si>
    <t>A corrective enforcement control is named: remediation or incident response (Annex A control-type: corrective).</t>
  </si>
  <si>
    <t>D3.4</t>
  </si>
  <si>
    <t>Policy specification only (no enforcement mechanism)</t>
  </si>
  <si>
    <t>Policy is stated, required, or its challenge argued, but no concrete enforcement mechanism is defined.</t>
  </si>
  <si>
    <t>D4</t>
  </si>
  <si>
    <t>Shared Responsibility</t>
  </si>
  <si>
    <t>Grounding: CSA Security Guidance v5 Shared Security Responsibility Model - SSRM (CSA, 2021); NSA shared-responsibility guidance (2024)</t>
  </si>
  <si>
    <t>Code by the allocation the segment makes: provider (D4.1), customer (D4.2), or jointly defined split (D4.3). If responsibility is referenced without allocating a boundary, use D4.4. Exactly one code per segment.</t>
  </si>
  <si>
    <t>D4.1</t>
  </si>
  <si>
    <t>Provider-managed</t>
  </si>
  <si>
    <t>Control/obligation allocated to the provider.</t>
  </si>
  <si>
    <t>Deductive (SSRM)</t>
  </si>
  <si>
    <t>D4.2</t>
  </si>
  <si>
    <t>Customer-managed</t>
  </si>
  <si>
    <t>Control/obligation allocated to the customer.</t>
  </si>
  <si>
    <t>D4.3</t>
  </si>
  <si>
    <t>Shared / jointly-managed (SSRM across IaaS/PaaS/SaaS)</t>
  </si>
  <si>
    <t>Responsibility split defined across provider and customer (per service model).</t>
  </si>
  <si>
    <t>D4.4</t>
  </si>
  <si>
    <t>Boundary referenced, not allocated</t>
  </si>
  <si>
    <t>Shared responsibility mentioned, but no boundary actually allocated.</t>
  </si>
  <si>
    <t>D5</t>
  </si>
  <si>
    <t>Risk Posture Management</t>
  </si>
  <si>
    <t>Grounding: NIST CSF 2.0 operational functions ID / PR / DE / RS-RC (NIST, 2024); CSPM per CSA Security Guidance v5 Domain 6</t>
  </si>
  <si>
    <t>Code the CSF function of the posture activity the segment describes (D5.ID / D5.PR / D5.DE / D5.RS). If risk is referenced without a posture mechanism, use D5.X. Exactly one code per segment.</t>
  </si>
  <si>
    <t>D5.ID</t>
  </si>
  <si>
    <t>ID - Risk identification / assessment</t>
  </si>
  <si>
    <t>Risk identification or assessment activity (incl. quantitative evaluation).</t>
  </si>
  <si>
    <t>Deductive (NIST CSF ID)</t>
  </si>
  <si>
    <t>D5.PR</t>
  </si>
  <si>
    <t>PR - Protective safeguards</t>
  </si>
  <si>
    <t>Protective safeguards for posture.</t>
  </si>
  <si>
    <t>Deductive (NIST CSF PR)</t>
  </si>
  <si>
    <t>D5.DE</t>
  </si>
  <si>
    <t>DE - Continuous monitoring / detection (CSPM)</t>
  </si>
  <si>
    <t>Continuous monitoring / detection, incl. CSPM tooling.</t>
  </si>
  <si>
    <t>Deductive (NIST CSF DE)</t>
  </si>
  <si>
    <t>D5.RS</t>
  </si>
  <si>
    <t>RS/RC - Response &amp; recovery</t>
  </si>
  <si>
    <t>Response and recovery activity.</t>
  </si>
  <si>
    <t>Deductive (NIST CSF RS/RC)</t>
  </si>
  <si>
    <t>D5.X</t>
  </si>
  <si>
    <t>Risk referenced, no posture mechanism</t>
  </si>
  <si>
    <t>Risk mentioned but no posture-management mechanism given.</t>
  </si>
  <si>
    <t>D6</t>
  </si>
  <si>
    <t>IAM Federation</t>
  </si>
  <si>
    <t>Grounding: Cuzzocrea &amp; Belmerabet (2024) seven-topic IAM taxonomy; IdP-RP federation terminology per CSA Security Guidance v5 Domain 5 and Poehn &amp; Hillmann (2021) FIM reference model</t>
  </si>
  <si>
    <t>Code the IAM topic the segment addresses using the Cuzzocrea taxonomy (one topic per segment). Cross-provider interoperability and identity federation (SAML/OIDC/SSO, IdP-RP trust) = D6.IF. Exactly one code per segment.</t>
  </si>
  <si>
    <t>D6.AA</t>
  </si>
  <si>
    <t>Authentication &amp; Authorization</t>
  </si>
  <si>
    <t>Authentication and authorization mechanisms (topic 1).</t>
  </si>
  <si>
    <t>Deductive (Cuzzocrea topic 1)</t>
  </si>
  <si>
    <t>D6.IV</t>
  </si>
  <si>
    <t>Identity Verification &amp; Risk Mgmt</t>
  </si>
  <si>
    <t>Identity verification and risk management (topic 2).</t>
  </si>
  <si>
    <t>Deductive (Cuzzocrea topic 2)</t>
  </si>
  <si>
    <t>D6.AM</t>
  </si>
  <si>
    <t>Attribute Management</t>
  </si>
  <si>
    <t>Attribute management (topic 3).</t>
  </si>
  <si>
    <t>Deductive (Cuzzocrea topic 3)</t>
  </si>
  <si>
    <t>D6.SP</t>
  </si>
  <si>
    <t>Security &amp; Privacy</t>
  </si>
  <si>
    <t>Security and privacy of identity data (topic 4).</t>
  </si>
  <si>
    <t>Deductive (Cuzzocrea topic 4)</t>
  </si>
  <si>
    <t>D6.AC</t>
  </si>
  <si>
    <t>Audit &amp; Compliance</t>
  </si>
  <si>
    <t>Identity audit and compliance (topic 5).</t>
  </si>
  <si>
    <t>Deductive (Cuzzocrea topic 5)</t>
  </si>
  <si>
    <t>D6.UL</t>
  </si>
  <si>
    <t>User Lifecycle Management</t>
  </si>
  <si>
    <t>Provisioning / deprovisioning / lifecycle synchronisation (topic 6).</t>
  </si>
  <si>
    <t>Deductive (Cuzzocrea topic 6)</t>
  </si>
  <si>
    <t>D6.IF</t>
  </si>
  <si>
    <t>Interoperability &amp; Federation</t>
  </si>
  <si>
    <t>Cross-provider interoperability and identity federation - SAML/OIDC/SSO, IdP-RP trust (topic 7).</t>
  </si>
  <si>
    <t>Deductive (Cuzzocrea topic 7)</t>
  </si>
  <si>
    <t>n/a (gap)</t>
  </si>
  <si>
    <t>Dimension not substantively addressed by this source</t>
  </si>
  <si>
    <t>Structural option: the source contains no segment addressing the dimension (coverage = No). Not a content code.</t>
  </si>
  <si>
    <t>Seg</t>
  </si>
  <si>
    <t>Source</t>
  </si>
  <si>
    <t>Layer</t>
  </si>
  <si>
    <t>Page</t>
  </si>
  <si>
    <t>Segment (verbatim, from original text)</t>
  </si>
  <si>
    <t>AlGhamdi et al. (2020)</t>
  </si>
  <si>
    <t>L3</t>
  </si>
  <si>
    <t>1</t>
  </si>
  <si>
    <t>paper addresses "information security governance" as a general organisational domain; no multi-cloud or cross-provider context addressed (p.1; abstract).</t>
  </si>
  <si>
    <t>-</t>
  </si>
  <si>
    <t>Ali et al. (2025)</t>
  </si>
  <si>
    <t>"This review comprehensively examines the critical security and privacy concerns associated with multi-cloud and hybrid cloud architectures" (abstract, p.1).</t>
  </si>
  <si>
    <t>Aljarrah et al. (2024)</t>
  </si>
  <si>
    <t>136</t>
  </si>
  <si>
    <t>paper provides "a comprehensive analysis of the current state of the art in cybersecurity risk assessment, governance, and compliance" across 24 models (p.136); no multi-cloud or cross-provider architecture addressed.</t>
  </si>
  <si>
    <t>Alouffi et al. (2021)</t>
  </si>
  <si>
    <t>57792</t>
  </si>
  <si>
    <t>"in this SLR, we have reviewed the literature on cloud computing topics, including cloud security threats and their mitigation strategies."; "examined the research studies published between 2010 and 2020" (p.57792);</t>
  </si>
  <si>
    <t>n/a</t>
  </si>
  <si>
    <t>CSA Security Guidance v5 (2021)</t>
  </si>
  <si>
    <t>L1</t>
  </si>
  <si>
    <t>98</t>
  </si>
  <si>
    <t>"While this is our recommendation, we also understand that many CSCs are forced to support multi-cloud before reaching the expected maturity level" (CSA, 2021, p.98); multi-cloud acknowledged conceptually in Domains 3-4 as advisory guidance.</t>
  </si>
  <si>
    <t>Cuzzocrea &amp; Belmerabet (2024)</t>
  </si>
  <si>
    <t>6224</t>
  </si>
  <si>
    <t>Organized around seven core topics, Authentication and Authorization, Identity Verification and Risk Management, Attribute Management, Security and Privacy, Audit and Compliance, User Lifecycle Management, and Interoperability and Federation, this study provides "this study provides a detailed examination of these aspects particularly to achieve robust security, privacy, and interoperability across multi- loud platforms." organised around seven core IAM topics (p.6224).</t>
  </si>
  <si>
    <t>Diningrat et al. (2025)</t>
  </si>
  <si>
    <t>70006</t>
  </si>
  <si>
    <t>"This study uses a systematic literature review methodology adopting the Kitchenham method, which includes a literature search across leading academic databases including IEEE Xplore, ScienceDirect, ACM, SpringerLink, Emerald Insight, Nature, Taylor &amp; Francis, Scopus, and ProQuest. A formal protocol was followed to conduct an automated search of relevant articles published between 2021 and 2024, and filters were applied. Based on the initial search results, 2038 studies were found, then the selection criteria process (inclusion and exclusion) and quality assessment were carried out, and finally 30 studies were selected for further research."  (p.70006).</t>
  </si>
  <si>
    <t>Hegde et al. (2023)</t>
  </si>
  <si>
    <t>paper evaluates "ISO/IEC 27001 and 27002, FedRAMP, and SOC 2 against a third-party benchmark, the Cloud Controls Matrix" (p.1); no multi-cloud or cross-provider architecture addressed.</t>
  </si>
  <si>
    <t>ISO/IEC 27001:2022</t>
  </si>
  <si>
    <t>12</t>
  </si>
  <si>
    <t>standard is architecture-agnostic; A.5.23 addresses "Information security for use of cloud services" but does not distinguish between single-provider and multi-provider architecture (Annex A, p.12).</t>
  </si>
  <si>
    <t>Kaur et al. (2024)</t>
  </si>
  <si>
    <t>L2</t>
  </si>
  <si>
    <t>paper proposes "The Multi-Cloud Security Model brings inter-server
verbal exchange, authentication integrity"; study "The primary goal of this investigation is to create
a safe architecture for inter-server communication within multi-cloud systems". (Introduction)</t>
  </si>
  <si>
    <t>NIST CSF 2.0 (2024)</t>
  </si>
  <si>
    <t>2</t>
  </si>
  <si>
    <t>"The CSF is designed to be used by organizations of all sizes and sectors, including industry, government, academia, and nonprofit organizations, regardless of the maturity level of their cybersecurity programs." (NIST, 2024, p.2); GV.SC addresses supply chain and cloud provider relationships generically, "GV.SC-01: A cybersecurity supply chain risk management program, strategy, objectives, policies, and processes are established and agreed to by organizational stakeholders" (NIST, 2024, p.17), without distinguishing single-provider from multi-provider governance requirements.</t>
  </si>
  <si>
    <t>NIST SP 800-210 (Hu et al., 2020)</t>
  </si>
  <si>
    <t>abstract</t>
  </si>
  <si>
    <t>"This document presents cloud access control (AC) characteristics and a set of general access control guidance for cloud service models-IaaS (Infrastructure as a Service), PaaS (Platform as a Service), and SaaS (Software as a Service)" (p. iv).</t>
  </si>
  <si>
    <t>Pöhn &amp; Hillmann (2021)</t>
  </si>
  <si>
    <t>196</t>
  </si>
  <si>
    <t>paper presents a "Reference Service Model for Federated Identity Management" - provider-heterogeneous deployment not stated; model is architecturally provider-agnostic (p.196).</t>
  </si>
  <si>
    <t>Yeboah-Ofori et al. (2024)</t>
  </si>
  <si>
    <t>218</t>
  </si>
  <si>
    <t>"we used the Kill Chain attack model for our implementation to determine the tactics, techniques, and procedures (TTP) used by cyberattacks to exploit the multi-cloud environment" (p. 218).</t>
  </si>
  <si>
    <t>28</t>
  </si>
  <si>
    <t>"the review identified the need for developing a holistic framework for the information security governance that (1) connects the organization's objectives and its protection, (2) addresses each aspect of strategy, control, and regulation, (3) ensures compliance of procedures and guidelines with policies, and (4) ensures continuous evaluation and compliance" (p.28).</t>
  </si>
  <si>
    <t>paper provides "We analyze existing security strategies, including cryptographic techniques, identity and access management (IAM) mechanisms, AI-driven threat detection, and privacy-preserving methodologies. Furthermore, we provide a comparative evaluation of these approaches, highlighting their trade-offs in terms of security effectiveness, computational overhead, and deployment feasibility". it is covering IAM, data security, network security, regulatory compliance (abstract, p.1).</t>
  </si>
  <si>
    <t>139</t>
  </si>
  <si>
    <t>"The evaluation framework (shown in Figure 1) is based on nine essential metrics that collectively provide a comprehensive assessment of cybersecurity risk assessment, governance, and compliance models. Privacy measurement... performance... precision... ethics... customisation... integration capabilities... resilience... automation levels... cost evaluations" (p.139).</t>
  </si>
  <si>
    <t>Domain 2 provides "cloud governance" covering policies, procedures, roles, and compliance, and the relationship between CSP and CSC (CSA, 2021, p.28).</t>
  </si>
  <si>
    <t>"Federated identity management solutions, on the other hand, have the ability to offer permission and authentication across systems" - governance requirements for federation identified as requiring cross-provider establishment but no governance framework structure defined (p.6224).</t>
  </si>
  <si>
    <t>"The security challenges in multi-cloud environments arise from the variability of security policies and standards among providers, resulting in configuration inconsistencies, complex authorization processes, and heightened risks of security breaches" (p.70006).</t>
  </si>
  <si>
    <t>5</t>
  </si>
  <si>
    <t>"FedRAMP Rev. 5, provided the highest alignment in coverage to CCM v4, with 94% of controls found in CCM having full coverage. ISO/IEC 27001/02:2022 provided the second highest alignment in coverage to CCM v4, with 61% of controls fully covered. SOC 2 had the lowest number of controls with full coverage, with only 28%" (p.5).</t>
  </si>
  <si>
    <t>1-10</t>
  </si>
  <si>
    <t>ISMS structure "Clauses 4 (Context of the organization), 5 (leadership), 6 (planning), 7 (support), 8 (operation), 9 (performance evaluation), 10 (improvement)" provide a complete auditable governance management system (Clauses 4-10, pp.1-10).</t>
  </si>
  <si>
    <t>"The primary goal of this investigation is to create a safe architecture for inter-server communication within multi-cloud systems" (Introduction); paper proposes and benchmarks SIDH, Blowfish, RSA, and BLAKE2 cryptographic algorithms for authentication performance - "overall execution time is 94.5 in SSCA and 55 in SIDH" (Results).</t>
  </si>
  <si>
    <t>16</t>
  </si>
  <si>
    <t>GOVERN function defines subcategories "GV.OC (organisational context), GV.RM (risk management strategy), GV.RR (Roles, Responsibilities, and Authorities), GV.PO (policy), GV.OV (oversight), GV.SC (Cybersecurity Supply Chain Risk Management)" (NIST, 2024, p.16).</t>
  </si>
  <si>
    <t>7</t>
  </si>
  <si>
    <t>"guidance for AC system for each cloud service model, as described in Sections 3, 4, and 6 of this document, can be further extended to system requirements by referring to the AC control elements listed in NIST SP 800-53" (p. 7).</t>
  </si>
  <si>
    <t>200</t>
  </si>
  <si>
    <t>"the need for a holistic architecture view is mandatory to avoid duplication in realization and to obtain synergy effects between the different systems. Especially the collaboration of several institutions in a federation becomes a challenge due to the growing IT complexity and architecture as a whole" (p. 200).</t>
  </si>
  <si>
    <t>220</t>
  </si>
  <si>
    <t>"the key challenge and complexities associated with managing multi-cloud environments, particularly regarding governance, security, resource fragmentation, and compliance, is establishing effective governance practices" (p. 220).</t>
  </si>
  <si>
    <t>framework "ensures compliance of procedures and guidelines with policies" as one of its four structural components (abstract, p.1).</t>
  </si>
  <si>
    <t>11</t>
  </si>
  <si>
    <t>"Identity management across several cloud providers demands IAM systems that deliver uniform identity services between multiple providers who maintain separate authentication protocols and authorization policies" (p.11).</t>
  </si>
  <si>
    <t>compliance scope assessed across frameworks - "Expanding compliance scope to create unified frameworks that help organizations efficiently navigate the complex web of security regulations is another key priority" (p.139).</t>
  </si>
  <si>
    <t>57799</t>
  </si>
  <si>
    <t>"Firewall configuration, server patching, and placement of the intrusion-detection system are enforced. The use of encryption and authentication processes can ensure data availability and con_x001C_dentiality" (p. 57799).</t>
  </si>
  <si>
    <t>Domain 2 (CSA, 2021, p.28) and Domain 5 (CSA, 2021, p.103) address policy governance and IAM policy enforcement in cloud contexts.</t>
  </si>
  <si>
    <t>"most of the multi-cloud security issue trends fall into the areas of data, cryptography, authentication and authorization" (p.70006); "authentication and authorization" identified as dominant challenge category across reviewed papers (p.70012).</t>
  </si>
  <si>
    <t>4-5</t>
  </si>
  <si>
    <t>policy enforcement coverage inferred from overall CCM control coverage percentages (p.4-5); "CCM v4 encapsulates a holistic approach to risk management" (p.5) but Hegde does not isolate policy enforcement as an independent result.</t>
  </si>
  <si>
    <t>Annex A control "A.5.23 Information security for use of cloud services" (p.12); "A.8.9 configuration management" (p. 16); Clause "5.2 policy (p.3).</t>
  </si>
  <si>
    <t>17</t>
  </si>
  <si>
    <t>"GV.PO-01: Policy for managing cybersecurity risks is established based on organizational context" and "GV.PO-02: Policy for managing cybersecurity risks is reviewed, updated, communicated, and enforced" (NIST, 2024, p.17).</t>
  </si>
  <si>
    <t>14</t>
  </si>
  <si>
    <t>"attribute-based access control (ABAC) [24] and attribute-based encryption (ABE) schemes can be used to control access to SaaS data [23, 25, 26, 27, 28] since these schemes can use the identity of users through attributes to manage, encrypt, and decrypt application data" (p. 14).</t>
  </si>
  <si>
    <t>"resource provisioning, access control, and compliance policies must be aligned across multi-cloud environments, yet differences in provider-specific controls can hinder policy uniformity" (p. 220).</t>
  </si>
  <si>
    <t>"The systematic literature review presented in this paper aims to introduce information security governance as a comprehensive solution for alignment between information security policies and the organization's objectives" (p.1); the four governance framework components defined are: "To the best of our knowledge, the review identified the need for developing a holistic framework for the information se- curity governance that (1) connects the organization’s objec- tives and its protection, (2) addresses each aspect of strat- egy, control, and regulation, (3) ensures compliance of proce- dures and guideline with policies, and (4) ensures continuous evaluation and compliance" (p.28), none address cloud provider-customer shared responsibility boundaries.</t>
  </si>
  <si>
    <t>"the selection process more challenging when organizations need to decide between role-based access control (RBAC) and attribute-based access control (ABAC)" (p.11) - "Table 2: Comparison of security and privacy challenges in multi-cloud and hybrid cloud environments." documents "RBAC vs. ABAC selection" : "RBAC lacks flexibility, ABAC is complex to manage" as a core IAM challenge. (P.13).</t>
  </si>
  <si>
    <t>shared responsibility not among the nine assessment metrics - metrics are: "Privacy measurement... performance... precision... ethics... customisation... integration capabilities... resilience... automation levels... cost evaluations" (p.139).</t>
  </si>
  <si>
    <t>21</t>
  </si>
  <si>
    <t>"This is commonly referred to as the Shared Security Responsibility Model (SSRM), sometimes shortened to SRM. Think of it as a responsibility matrix that depends on the particular cloud provider and feature/product, service, and deployment model." - disaggregated across IaaS, PaaS, SaaS (CSA, 2021, p.21).</t>
  </si>
  <si>
    <t>6223</t>
  </si>
  <si>
    <t>Paper scope is an IAM governance taxonomy structured around seven topics: "Authentication and Authorization, Identity Verification and Risk Management, Attribute Management, Security and Privacy, Audit and Compliance, User Lifecycle Management, and Interoperability and Federation" (p.6223); no content addressing provider-customer accountability boundaries or cross-provider shared responsibility allocation appears in any of the seven topic areas.</t>
  </si>
  <si>
    <t>"there is an evident need for comprehensive guidance on the applicability of a shared security responsibility model (SSRM) throughout the supply chain" identified as a primary gap between CCM and FedRAMP (p.5).</t>
  </si>
  <si>
    <t>"A.5.23  Information security for use of cloud services" addresses shared responsibility in the context of cloud service use (Annex A, p. 12); Clause "5.3 Organizational roles, responsibilities and authorities" defines roles and responsibilities (p.3).</t>
  </si>
  <si>
    <t>"GV.RR" defines "Roles, Responsibilities, and Authorities"; "GV.SC-01: A cybersecurity supply chain risk management program, strategy, objectives, policies, and processes are established and agreed to by organizational stakeholders" covering cloud provider relationships (NIST, 2024, p.17).</t>
  </si>
  <si>
    <t>"this document focuses on providing guidance for access control systems that are applicable to an organisation's cloud implementation and security management. It does not prescribe the internal cloud access control standards that an organisation may need in their enterprise systems or within a community other than the organisation itself" (p. 1).</t>
  </si>
  <si>
    <t>"Providers like Google allow users to securely reuse their accounts to authenticate at other services by utilizing the protocols Open Authorization (OAuth)/OpenID Connect (OIDC). The alternative Federated Identity Management (FIM) protocol Security Assertion Markup Language (SAML) is typically used in research and education" (p.196); paper scope is protocol-level federation architecture with no discussion of provider vs. customer security obligation allocation.</t>
  </si>
  <si>
    <t>"managing user identities and access controls consistently across multi-cloud environments also presents challenges, as IAM configurations must align with organisational requirements while accommodating the nuances of various cloud providers' IAM models" (p. 220).</t>
  </si>
  <si>
    <t>framework "addresses each aspect of strategy, control, and regulation"; "The review identified seven information security governance domains with 27 critical success factors" including risk-relevant components. (abstract, p.1)</t>
  </si>
  <si>
    <t>"we provide a comparative evaluation of these approaches, highlighting their trade-offs in terms of security effectiveness, computational overhead, and deployment feasibility" including CSPM and AI-driven threat detection (abstract, p.1).</t>
  </si>
  <si>
    <t>"resilience indicates the model's effectiveness under varying conditions" - one of the nine evaluation metrics (p.139); risk quantification assessed for each of 24 models (p.140).</t>
  </si>
  <si>
    <t>57803</t>
  </si>
  <si>
    <t>"this paper provides a substantial growing literature on cloud computing security challenges, commercial cloud services providers, cloud consumers' concerns, and blockchain technology. The proposed taxonomy, as shown in Fig. 6, is based on three levels" (p. 57803).</t>
  </si>
  <si>
    <t>129</t>
  </si>
  <si>
    <t>"CSPM are tools and practices that help organizations continuously monitor, assess, and improve the security status of their cloud infrastructure" - Domain 6 covers CSPM, logging, monitoring, and incident response (CSA, 2021, p.129).</t>
  </si>
  <si>
    <t>70016</t>
  </si>
  <si>
    <t>"virtualization, confidential computing and service availability still have aspects that can be explored further for future research" (p. 70016); unified threat detection and cross-CSP coordination identified as open research areas.</t>
  </si>
  <si>
    <t>frameworks evaluated against "Treacherous Twelve" cloud computing threats; "ISO/IEC 27001/02 and FedRAMP adequately address insufficient identity and credential management, insecure interfaces, misconfiguration, cloud strategy gaps" (p.5).</t>
  </si>
  <si>
    <t>3</t>
  </si>
  <si>
    <t>Clause "6.1 Actions to address risks and opportunities" mandates risk identification, analysis, and evaluation as part of ISMS planning (p.3).</t>
  </si>
  <si>
    <t>"The achieved response time is 3.85 in SSCA and 2.01 in SIDH" - benchmark comparing proposed SIDH authentication against SSCA (Scalable and Secure Cloud Architecture) in simulated multi-cloud environment; "overall execution time is 94.5 in SSCA and 55 in SIDH" (Table 5 results section).</t>
  </si>
  <si>
    <t>"Continuous Monitoring (DE.CM)" DE.CM-01 through DE.CM-09 continuous monitoring subcategories (NIST, 2024, p.21); "Risk Assessment (ID.RA)" ID.RA-01 through ID.RA-10 risk assessment subcategories (NIST, 2024, p.18).</t>
  </si>
  <si>
    <t>"Resource usage ismonitored, controlled, and reported to provide transparency to both the provider andconsumer of the utilized service. To maintain resource usage, cloud consumers should beauthorized to review but not to modify their own metering data since this could lead to thefalsification of payments required for cloud services." (p. 7).</t>
  </si>
  <si>
    <t>attack simulation reveals cross-provider risk gaps "coordinating security policies and best practices across multiple cloud providers poses a significant challenge, as each provider offers its own set of security services and features" (p. 220).</t>
  </si>
  <si>
    <t>"The review identified seven information security governance domains with 27 critical success factors" (p.1); domains cover: "To the best of our knowledge, the review identified the need for developing a holistic framework for the information se- curity governance that (1) connects the organization’s objec- tives and its protection, (2) addresses each aspect of strat- egy, control, and regulation, (3) ensures compliance of proce- dures and guideline with policies, and (4) ensures continuous evaluation and compliance" (p.28) with no reference to identity management, access management, or IAM federation among the seven domains or 27 factors.</t>
  </si>
  <si>
    <t>IAM federation not among the nine evaluation metrics; "federated learning models achieve the highest privacy rating" (p.136) but this refers to federated machine learning for privacy, not IAM federation governance.</t>
  </si>
  <si>
    <t>107</t>
  </si>
  <si>
    <t>"Identity Federation establishes the relationship between an IdP, which handles authentication, and an RP where authorizations are managed. In the cloud, the RP is typically a cloud service or application" (CSA, 2021, p.107); Domain 5 specifies requirements for federating across multiple CSPs.</t>
  </si>
  <si>
    <t>70012</t>
  </si>
  <si>
    <t>"data security, encompassing cryptography, together with authentication and authorization, are the most commonly addressed topics" (p. 70012).</t>
  </si>
  <si>
    <t>IAM partially covered - "the highest coverage of mitigating controls was found against the 'Insecure Interfaces and APIs' risk category because SOC 2 contains many of the same identity and access management (IAM) controls" (p.5).</t>
  </si>
  <si>
    <t>Annex A controls "A.5.15-A.5.18" address access control, identity management and authentication applicable to any IT environment; no multi-provider federation distinction (p.12).</t>
  </si>
  <si>
    <t>"The proposed SIDH algorithm is used to secure interserver communication," (Article Key contributions of this research) - SIDH, ABE-OD, inter-server authentication mechanisms implemented and benchmarked as cross-provider IAM mechanisms; "The Multi-Cloud Security Model brings inter-server verbal exchange, authentication integrity". (Article Introduction)</t>
  </si>
  <si>
    <t>19</t>
  </si>
  <si>
    <t>"Identity Management, Authentication, and Access Control (PR.AA)" PR.AA-01 through PR.AA-06 establish authentication and access control requirements for identities, credentials, and access permissions (NIST, 2024, p.19); no adaptation for multi-cloud or cross-provider federation contexts provided.</t>
  </si>
  <si>
    <t>"to facilitate data sharing, concepts such as trust of federated identities and AC attributes need to be considered, and building that trust is paramount. In this document, it is assumed that trust and federated identities/attributes are already established, and further discussion on that topic will be considered in another document" (p. 7).</t>
  </si>
  <si>
    <t>221</t>
  </si>
  <si>
    <t>"Azure Arc integrates with Azure Active Directory for identity and access management (IAM), including role-based access control (RBAC)" (p.221); no cross-provider IAM federation governance mechanism proposed or evaluated.</t>
  </si>
  <si>
    <t>Dimension</t>
  </si>
  <si>
    <t>Segment (verbatim)</t>
  </si>
  <si>
    <t>Coding decision (why this code)</t>
  </si>
  <si>
    <t>Coverage (Table 3.5)</t>
  </si>
  <si>
    <t>D1 - Multi-Cloud Environment Focus</t>
  </si>
  <si>
    <t>No multi-cloud or cross-provider architecture content → No.</t>
  </si>
  <si>
    <t>No</t>
  </si>
  <si>
    <t>Explicitly multi-cloud and hybrid-cloud framed → Yes.</t>
  </si>
  <si>
    <t>Yes</t>
  </si>
  <si>
    <t>General cybersecurity governance scope; no multi-cloud framing → No.</t>
  </si>
  <si>
    <t>Cloud environments addressed broadly; multi-cloud not the explicit frame but cross-provider threats included → Partial.</t>
  </si>
  <si>
    <t>Partial</t>
  </si>
  <si>
    <t>Multi-cloud acknowledged conceptually but no prescriptive cross-provider governance requirements defined → Partial.</t>
  </si>
  <si>
    <t>Partial*</t>
  </si>
  <si>
    <t>Multi-cloud IAM explicitly the stated focus and context of the survey → Yes.</t>
  </si>
  <si>
    <t>Explicitly multi-cloud scoped systematic review → Yes.</t>
  </si>
  <si>
    <t>Single-cloud coverage mapping only; no multi-cloud framing → No.</t>
  </si>
  <si>
    <t>No multi-cloud or cross-provider specificity → No.</t>
  </si>
  <si>
    <t>Multi-cloud environment is the explicit experimental context → Yes.</t>
  </si>
  <si>
    <t>Framework is architecture-agnostic by explicit design; no subcategory specifies governance requirements for concurrent multi-provider deployment → No.</t>
  </si>
  <si>
    <t>Single cloud service model scope only; no multi-cloud or cross-provider context; D1 = No.</t>
  </si>
  <si>
    <t>No multi-cloud architecture context; federation model is provider-agnostic in design → No.</t>
  </si>
  <si>
    <t>Explicitly multi-cloud lab (Azure Arc, AWS EKS, GCP Anthos); D1 = Yes - empirical multi-cloud focus confirmed.</t>
  </si>
  <si>
    <t>D2 - Cloud Governance</t>
  </si>
  <si>
    <t>Explicit, complete information security governance framework with four defined structural components → Yes.</t>
  </si>
  <si>
    <t>Broad governance analysis with comparative structure across multiple security domains → Yes.</t>
  </si>
  <si>
    <t>Comprehensive structured governance evaluation across 24 models and 9 metrics → Yes.</t>
  </si>
  <si>
    <t>"in this SLR, we have reviewed the literature on cloud computing topics, including cloud security threats and their mitigation strategies" (p.57805); paper produces a three-level threat taxonomy (Fig. 6, p.57802) classifying threats without defining governance frameworks, oversight mechanisms, or accountability structures.</t>
  </si>
  <si>
    <t>57805</t>
  </si>
  <si>
    <t>Paper scope is threat identification and mitigation classification; no governance framework or structure content → No.</t>
  </si>
  <si>
    <t>Cloud governance explicitly addressed as a domain; D2 → Yes</t>
  </si>
  <si>
    <t>Governance referenced conceptually in the federation context; no complete governance framework or structure provided → Partial.</t>
  </si>
  <si>
    <t>Governance challenges documented thematically; no governance framework or structure defined → Partial.</t>
  </si>
  <si>
    <t>Structured quantitative governance coverage evaluation across three frameworks → Yes.</t>
  </si>
  <si>
    <t>Full, auditable governance management system structure with defined clauses → Yes.</t>
  </si>
  <si>
    <t>Paper scope is confined to cryptographic authentication benchmarking; no governance framework, policy structure, role definition, or oversight mechanism is defined anywhere in the paper → No.</t>
  </si>
  <si>
    <t>Dedicated governance function with defined subcategories covering full governance management scope → Yes.</t>
  </si>
  <si>
    <t>Governance addressed as access control policy structure for individual service models; not a complete multi-cloud governance framework; D2 = Partial.</t>
  </si>
  <si>
    <t>Governance referenced at the conceptual architectural level for federated identity management; no complete cloud governance framework structure defined; D2 = Partial.</t>
  </si>
  <si>
    <t>Governance named as the primary challenge category; D2 = Yes.</t>
  </si>
  <si>
    <t>D3 - Policy Enforcement</t>
  </si>
  <si>
    <t>Policy compliance addressed as a governance element; no cloud-specific enforcement mechanism defined → Partial.</t>
  </si>
  <si>
    <t>Policy enforcement requirements identified at cross-provider level; no prescriptive enforcement mechanism defined → Partial.</t>
  </si>
  <si>
    <t>Policy governance addressed as evaluation dimension; no specific policy enforcement mechanism defined → Partial.</t>
  </si>
  <si>
    <t>Access control and authentication identified as security threat categories; policy enforcement addressed indirectly through threat identification; no enforcement mechanism defined → D3 = Partial.</t>
  </si>
  <si>
    <t>Policy enforcement addressed through dedicated domain-level provisions → Yes.</t>
  </si>
  <si>
    <t>"Organized around seven core topics, Authentication and Authorization, Identity Verification and Risk Management, Attribute Management, Security and Privacy, Audit and Compliance, User Lifecycle Management, and Interoperability and Federation, this study provides "this study provides a detailed examination of these aspects particularly to achieve robust security, privacy, and interoperability across multi- loud platforms."  (p.6223) survey scope is IAM taxonomy; policy enforcement not addressed as a distinct governance mechanism in any of the seven topic areas.</t>
  </si>
  <si>
    <t>No policy enforcement content → No.</t>
  </si>
  <si>
    <t>Policy enforcement challenges documented through literature synthesis; no enforcement mechanism defined → Partial.</t>
  </si>
  <si>
    <t>Policy enforcement addressed indirectly through CCM coverage mapping; no standalone enforcement mechanism defined → Partial.</t>
  </si>
  <si>
    <t>Specific enforceable policy controls defined at clause and Annex A control level → Yes.</t>
  </si>
  <si>
    <t>"The primary goal of this investigation is to create a safe architecture for inter-server communication within multi-cloud systems" (Introduction); paper output is a performance comparison of authentication algorithms - "The achieved response time is 3.85 in SSCA and 2.01 in SIDH" (Results).</t>
  </si>
  <si>
    <t>Paper contributes a cryptographic performance benchmark, not a policy enforcement mechanism; no cloud policy definition, enforcement control, or compliance procedure is addressed → No.</t>
  </si>
  <si>
    <t>Explicit policy enforcement requirements with defined governance obligations → Yes.</t>
  </si>
  <si>
    <t>Explicit cloud authorisation enforcement mechanism (ABAC) defined and operationalised across IaaS/PaaS/SaaS service models; D3 = Yes.</t>
  </si>
  <si>
    <t>paper presents a "Reference Service Model for Federated Identity Management" (p.196); the FIMSM defines six architectural layers via ArchiMate: "reference architecture FIMSM, using different layers to differentiating roles from business, applications, and technology. The reference architecture includes external layer, business service layer, business layer, application service layer, application layer, and the technical service layer." (p.201), all addressing identity federation architecture rather than policy enforcement controls.</t>
  </si>
  <si>
    <t>Paper output is a federated identity architectural reference model; no policy enforcement mechanism, governance control, or compliance obligation is defined → No.</t>
  </si>
  <si>
    <t>Policy alignment challenge identified but no enforcement mechanism defined; D3 = Partial.</t>
  </si>
  <si>
    <t>D4 - Shared Responsibility</t>
  </si>
  <si>
    <t>Paper scope is organisational ISMS governance; cross-provider shared responsibility allocation is absent from all seven governance domains and 27 critical success factors → No.</t>
  </si>
  <si>
    <t>Accountability ambiguity at cross-provider IAM level explicitly documented; no resolution mechanism specified → Partial.</t>
  </si>
  <si>
    <t>No shared responsibility or accountability boundary content → No.</t>
  </si>
  <si>
    <t>"in this SLR, we have reviewed the literature on cloud computing topics, including cloud security threats and their mitigation strategies" (p.57805); the three-level threat taxonomy (Fig. 6, p.57802) classifies attack categories without including shared responsibility or provider-customer accountability boundaries as a reviewed dimension.</t>
  </si>
  <si>
    <t>Shared responsibility boundary allocation is not a threat category in the taxonomy; accountability content entirely absent → No.</t>
  </si>
  <si>
    <t>SSRM explicitly defined across IaaS/PaaS/SaaS; D4 → Yes.</t>
  </si>
  <si>
    <t>No shared responsibility content → No.</t>
  </si>
  <si>
    <t>"The security challenges in multi-cloud environments arise from the variability of security policies and standards among providers" creating cross-provider accountability gaps (p.70006).</t>
  </si>
  <si>
    <t>Shared responsibility challenges referenced as a primary challenge area; no accountability boundary allocation mechanism defined → Partial.</t>
  </si>
  <si>
    <t>Shared responsibility gap identified; not analysed as a cross-provider accountability mechanism → Partial.</t>
  </si>
  <si>
    <t>Shared responsibility addressed at single-provider level through ISMS role provisions and A.5.23; no cross-provider boundary coordination mechanism → Yes (single-provider scope only).</t>
  </si>
  <si>
    <t>"The primary goal of this investigation is to create a safe architecture for inter-server communication within multi-cloud systems" (Introduction); paper scope is inter-server authentication integrity via SIDH and ABE-OD mechanisms with no discussion of security obligation allocation between provider and customer.</t>
  </si>
  <si>
    <t>Paper does not engage with shared responsibility boundaries or cross-provider accountability allocation in any section; D4 = No.</t>
  </si>
  <si>
    <t>Shared responsibility and cross-provider relationship governance addressed through defined subcategories → Yes.</t>
  </si>
  <si>
    <t>- responsibility boundary governance not addressed; document focuses on customer-side access control only; D4 = No.</t>
  </si>
  <si>
    <t>Shared responsibility boundary definition between cloud provider and customer is not referenced anywhere in the paper; scope is limited to identity protocol architecture → No.</t>
  </si>
  <si>
    <t>Cross-provider IAM misalignment documented; no cross-provider SRM defined; D4 = Partial.</t>
  </si>
  <si>
    <t>D5 - Risk Posture Management</t>
  </si>
  <si>
    <t>Risk governance present as a framework element; no cloud-specific risk posture management mechanism → Partial.</t>
  </si>
  <si>
    <t>Risk posture tools reviewed comparatively; no unified cross-provider risk posture framework defined → Partial.</t>
  </si>
  <si>
    <t>Risk elements present within the evaluation framework; no dedicated cloud risk posture management mechanism → Partial.</t>
  </si>
  <si>
    <t>Taxonomy of cloud security threats provides a risk-identification basis across 71 studies; no continuous risk posture monitoring or cross-provider aggregation mechanism defined → D5 = Partial.</t>
  </si>
  <si>
    <t>CSPM addressed as a dedicated governance domain with specific provisions → Yes.</t>
  </si>
  <si>
    <t>Paper scope is an IAM governance taxonomy structured around seven topics: "Authentication and Authorization, Identity Verification and Risk Management, Attribute Management, Security and Privacy, Audit and Compliance, User Lifecycle Management, and Interoperability and Federation" (p.6223); no content addressing cloud security posture management, continuous monitoring, or cross-provider risk posture aggregation appears in any of the seven topic areas.</t>
  </si>
  <si>
    <t>No risk posture management content → No.</t>
  </si>
  <si>
    <t>Risk posture gaps across providers identified as a primary unresolved area; D5 = Yes.</t>
  </si>
  <si>
    <t>Risk posture partially covered through threat-mapping evaluation; no dedicated cross-provider risk posture mechanism → Partial.</t>
  </si>
  <si>
    <t>Risk assessment required by standard; no cloud-specific or cross-provider risk posture monitoring mechanism defined → Partial.</t>
  </si>
  <si>
    <t>Authentication risk posture assessed empirically through quantitative benchmarking in multi-cloud context → Yes.</t>
  </si>
  <si>
    <t>Comprehensive risk posture governance through dedicated DETECT and IDENTIFY function subcategories → Yes.</t>
  </si>
  <si>
    <t>"Resource usage is monitored, controlled, and reported to provide transparency to both the provider andconsumer of the utilized service. To maintain resource usage, cloud consumers should beauthorized to review but not to modify their own metering data since this could lead to thefalsification of payments required for cloud services." (p. 7).</t>
  </si>
  <si>
    <t>Risk posture monitoring addressed at individual service model level through metering; not cross-provider aggregation; D5 = Partial.</t>
  </si>
  <si>
    <t>"Providers like Google allow users to securely reuse their accounts to authenticate at other services by utilizing the protocols Open Authorization (OAuth)/OpenID Connect (OIDC). The alternative Federated Identity Management (FIM) protocol Security Assertion Markup Language (SAML) is typically used in research and education" (p.196).</t>
  </si>
  <si>
    <t>Paper scope is federated identity reference architecture; cloud security posture management, continuous monitoring, and risk posture aggregation are not referenced in any section of the paper → No.</t>
  </si>
  <si>
    <t>Empirical cross-provider risk posture gap demonstrated; D5 = Partial.</t>
  </si>
  <si>
    <t>D6 - IAM Federation</t>
  </si>
  <si>
    <t>Identity management and federated IAM are entirely absent from the enumerated governance domains and critical success factors; no IAM federation governance content → No.</t>
  </si>
  <si>
    <t>"Identity management across several cloud providers demands IAM systems that deliver uniform identity services between multiple providers" (p.11); "federated identity, Single Sign-On (SSO)" recommended in "Table 2" as mitigation strategy (p.13).</t>
  </si>
  <si>
    <t>IAM addressed with cross-provider framing; no complete cross-provider IAM federation governance mechanism defined → Partial.</t>
  </si>
  <si>
    <t>No IAM or identity federation governance content → No.</t>
  </si>
  <si>
    <t>"in this SLR, we have reviewed the literature on cloud computing topics, including cloud security threats and their mitigation strategies" (p.57805); identity management appears only as a sub-item of access control threats - "The use of encryption and authentication processes can ensure data availability and confidentiality" (p.57799), not as a federated identity governance dimension.</t>
  </si>
  <si>
    <t>IAM federation governance (cross-provider identity trust, protocol interoperability, lifecycle synchronisation) is not addressed; identity appears only as a technical threat subcategory → No.</t>
  </si>
  <si>
    <t>Federated IAM addressed as an explicit governance domain; most cloud-contextualised IAM guidance in the corpus → Yes.</t>
  </si>
  <si>
    <t>"Organized around seven core topics, Authentication and Authorization, Identity Verification and Risk Management, Attribute Management, Security and Privacy, Audit and Compliance, User Lifecycle Management, and Interoperability and Federation"  (p.6223) - providing "a detailed examination to achieve robust security, privacy, and interoperability across multi-Cloud platforms" (p.6224).</t>
  </si>
  <si>
    <t>Comprehensive IAM federation taxonomy with explicit cross-provider interoperability and federation dimension → Yes.</t>
  </si>
  <si>
    <t>Authentication and authorization grouped as a technical security issue area, not as a federation governance dimension; no cross-provider IAM federation governance content identified; D6 = No.</t>
  </si>
  <si>
    <t>IAM addressed within CCM coverage scope; no cross-provider IAM federation mechanism evaluated → Partial.</t>
  </si>
  <si>
    <t>IAM addressed through Annex A controls; no cross-provider federation governance mechanism → Partial.</t>
  </si>
  <si>
    <t>"The proposed SIDH algorithm is used to secure inter-server communication" (Article Key contributions of this research) - SIDH, ABE-OD, inter-server authentication mechanisms implemented and benchmarked as cross-provider IAM mechanisms; "The Multi-Cloud Security Model brings inter-server verbal exchange, authentication integrity". (Article Introduction)</t>
  </si>
  <si>
    <t>Concrete cross-provider authentication mechanisms empirically demonstrated → Yes.</t>
  </si>
  <si>
    <t>IAM addressed without multi-cloud federation elaboration; no cross-provider token validation or lifecycle synchronisation → Partial.</t>
  </si>
  <si>
    <t>Federated identity trust acknowledged but explicitly scoped out of this document; ABAC provides a single-provider IAM mechanism; no cross-provider federation mechanism defined; D6 = Partial.
NOTE - Layer 1 (Normative Framework): Gap conclusions drawn from this row apply at framework level only; do not conflate with empirical or literature findings.</t>
  </si>
  <si>
    <t>"Providers like Google allow users to securely reuse their accounts to authenticate at other services by utilizing the protocols Open Authorization (OAuth)/OpenID Connect (OIDC). The alternative Federated Identity Management (FIM) protocol Security Assertion Markup Language (SAML) is typically used in research and education" (p. 196); FIMSM reference architecture uses ArchiMate to define six layers: External Layer, Business Service Layer, Business Layer, Application Service Layer, Application Layer, and Technical Service Layer for federated identity governance (p. 202).</t>
  </si>
  <si>
    <t>Explicit, structured federated IAM architecture with defined layers and governance components across SAML/OAuth/OIDC protocols; most detailed FIM reference model in corpus → D6 = Yes.</t>
  </si>
  <si>
    <t>IAM addressed within single provider (Azure); no cross-provider identity federation mechanism → No.</t>
  </si>
  <si>
    <t>COVERAGE MATRIX (secondary) - study-level Yes/Partial/No per Table 3.5; identical to thesis Table 4.2 context. Primary coding = sheets 2-4.</t>
  </si>
  <si>
    <t>Study Type</t>
  </si>
  <si>
    <t>Empirical study</t>
  </si>
  <si>
    <t>Comparative analysis</t>
  </si>
  <si>
    <t>Systematic review</t>
  </si>
  <si>
    <t>Comparative mapping</t>
  </si>
  <si>
    <t>Survey</t>
  </si>
  <si>
    <t>Comprehensive review</t>
  </si>
  <si>
    <t>Reference model</t>
  </si>
  <si>
    <t>Normative standard</t>
  </si>
  <si>
    <t>Normative framework</t>
  </si>
  <si>
    <t>Normative guidance</t>
  </si>
  <si>
    <t>Normative supplement (Government technical standard, NIST SP)</t>
  </si>
  <si>
    <t>CODE FREQUENCY (live) &amp; THEME MAPPING</t>
  </si>
  <si>
    <t>Dimension not substantively addressed</t>
  </si>
  <si>
    <t>Theme</t>
  </si>
  <si>
    <t>Code pattern that constitutes the gap</t>
  </si>
  <si>
    <t>AAG - Architecture Agnosticism</t>
  </si>
  <si>
    <t>D1.1 dominates the frameworks (all three code D1.1/D1.3, never D1.4); operational multi-cloud (D1.4) confined to two empirical studies.</t>
  </si>
  <si>
    <t>CPCG - Cross-Provider Policy Coordination</t>
  </si>
  <si>
    <t>D3.4 (policy specification only) recurs corpus-wide; D3.1 preventive controls appear only inside single providers - no D3.1 at cross-provider level.</t>
  </si>
  <si>
    <t>SRBG - Shared Responsibility Boundary</t>
  </si>
  <si>
    <t>D4.4 (referenced, not allocated) dominates the literature; D4.3 allocations exist only inside single-provider framework models - never reconciled across providers.</t>
  </si>
  <si>
    <t>CRPNG - Cross-Cloud Risk Posture Normalisation</t>
  </si>
  <si>
    <t>D5.DE monitoring exists per provider; no code instance normalises posture across providers - D5.X and per-provider D5.DE constitute the gap.</t>
  </si>
  <si>
    <t>FIAMG - Federated IAM Governance</t>
  </si>
  <si>
    <t>D6.IF exists (CSA, Poehn, Kaur, Cuzzocrea) but as guidance/technique; D6.AA without D6.IF in the frameworks; multiple n/a - no framework mandates cross-provider IdP governance.</t>
  </si>
  <si>
    <t xml:space="preserve">PRISMA Search Log </t>
  </si>
  <si>
    <t>Thesis: Comparative Analysis of Cybersecurity Governance Frameworks for Multi-Cloud Environments</t>
  </si>
  <si>
    <t>Database</t>
  </si>
  <si>
    <t>Search Date</t>
  </si>
  <si>
    <t>Records Retrieved</t>
  </si>
  <si>
    <t>After Deduplication</t>
  </si>
  <si>
    <t>IEEE Xplore</t>
  </si>
  <si>
    <t>April 2026</t>
  </si>
  <si>
    <t>ACM Digital Library</t>
  </si>
  <si>
    <t>SpringerLink</t>
  </si>
  <si>
    <t>ScienceDirect (Elsevier)</t>
  </si>
  <si>
    <t>EBSCO HOST</t>
  </si>
  <si>
    <t>Citation Tracking</t>
  </si>
  <si>
    <t>Total</t>
  </si>
  <si>
    <t>Difference : 219</t>
  </si>
  <si>
    <t>Evidence of how many results each database gave me.</t>
  </si>
  <si>
    <t>HOW TO READ: Records Retrieved = raw hits from each database search. After Deduplication = unique records remaining. EBSCO HOST figure (777) is confirmed by EBSCO's own system message: 'A total of 777 unique records were presented after deduplication.' All other databases showed no overlap with previously searched databases. Total unique records entering title/abstract screening: 1,599.</t>
  </si>
  <si>
    <t>PRISMA 2020 Screening Stage Summary</t>
  </si>
  <si>
    <t>Stage</t>
  </si>
  <si>
    <t>Total unique records after deduplication</t>
  </si>
  <si>
    <t>Entering title/abstract screening</t>
  </si>
  <si>
    <t>Excluded at title/abstract stage</t>
  </si>
  <si>
    <t>Off-topic, single-cloud only, non-peer-reviewed, outside 2020–2025, wrong language</t>
  </si>
  <si>
    <t>Records advancing to full-text review</t>
  </si>
  <si>
    <t>Assessed against full inclusion/exclusion criteria (8 from database search + 2 from citation tracking, plus 6 which will be excluded later)</t>
  </si>
  <si>
    <t>Excluded at full-text stage</t>
  </si>
  <si>
    <t>Listed below with specific reasons</t>
  </si>
  <si>
    <t>Final included corpus</t>
  </si>
  <si>
    <t>10 peer-reviewed (8 PRISMA + 2 citation tracking) + 3 normative frameworks + 1 normative supplement (NIST SP) = 14 total</t>
  </si>
  <si>
    <t>Individual Screening Decisions (Full-Text Reviewed Papers) - PRISMA Screening Log</t>
  </si>
  <si>
    <t>Title</t>
  </si>
  <si>
    <t>Author(s)</t>
  </si>
  <si>
    <t>Year</t>
  </si>
  <si>
    <t>Decision</t>
  </si>
  <si>
    <t>Exclusion Reason</t>
  </si>
  <si>
    <t>Data security and governance in multi-cloud computing environment</t>
  </si>
  <si>
    <t>Yeboah-Ofori et al.</t>
  </si>
  <si>
    <t>2024</t>
  </si>
  <si>
    <t>Include</t>
  </si>
  <si>
    <t>Cloud security frameworks: A comparison to evaluate cloud control standards</t>
  </si>
  <si>
    <t>Hegde et al.</t>
  </si>
  <si>
    <t>2023</t>
  </si>
  <si>
    <t>Security issues in multi-cloud: A systematic literature review</t>
  </si>
  <si>
    <t>Diningrat et al.</t>
  </si>
  <si>
    <t>2025</t>
  </si>
  <si>
    <t>On the comparative analysis of trends in cybersecurity risk assessment, governance, and compliance frameworks</t>
  </si>
  <si>
    <t>Aljarrah et al.</t>
  </si>
  <si>
    <t>Privacy-preserving identity and access management in multiple cloud environments: Models, issues, and solutions</t>
  </si>
  <si>
    <t>Cuzzocrea &amp; Belmerabet</t>
  </si>
  <si>
    <t>Multi-cloud security model: Establishment of inter-server communication for authentication integrity</t>
  </si>
  <si>
    <t>Kaur et al.</t>
  </si>
  <si>
    <t>A systematic literature review on cloud computing security: Threats and mitigation strategies</t>
  </si>
  <si>
    <t>Alouffi et al.</t>
  </si>
  <si>
    <t>2021</t>
  </si>
  <si>
    <t>Security and privacy in multi-cloud and hybrid cloud environments</t>
  </si>
  <si>
    <t>Ali et al.</t>
  </si>
  <si>
    <t>ISO/IEC 27001:2022 - Information security management systems</t>
  </si>
  <si>
    <t>ISO/IEC</t>
  </si>
  <si>
    <t>2022</t>
  </si>
  <si>
    <t>- (normative framework)</t>
  </si>
  <si>
    <t>NIST Cybersecurity Framework 2.0</t>
  </si>
  <si>
    <t>NIST</t>
  </si>
  <si>
    <t>CSA Security Guidance v5</t>
  </si>
  <si>
    <t>CSA</t>
  </si>
  <si>
    <t>General access control guidance for cloud systems (NIST SP 800-210)</t>
  </si>
  <si>
    <t>Hu et al.</t>
  </si>
  <si>
    <t>2020</t>
  </si>
  <si>
    <t>- (normative supplement / government technical standard)</t>
  </si>
  <si>
    <t>Information security governance challenges and critical success factors: Systematic review</t>
  </si>
  <si>
    <t>AlGhamdi et al.</t>
  </si>
  <si>
    <t>- (citation tracking)</t>
  </si>
  <si>
    <t>Reference service model for federated identity management</t>
  </si>
  <si>
    <t>Pöhn &amp; Hillmann</t>
  </si>
  <si>
    <t>Systemic Risk and Vulnerability Analysis of Multi-cloud Environments</t>
  </si>
  <si>
    <t>Reece et al.</t>
  </si>
  <si>
    <t>Exclude</t>
  </si>
  <si>
    <t>Not peer-reviewed</t>
  </si>
  <si>
    <t>A survey on security challenges in cloud computing: issues, threats, and solutions</t>
  </si>
  <si>
    <t>Tabrizchi &amp; Kuchaki Rafsanjani</t>
  </si>
  <si>
    <t>Single-cloud focus only - no multi-cloud governance framework analysis</t>
  </si>
  <si>
    <t>Blockchain-based trust management in cloud computing systems: a taxonomy, review and future directions</t>
  </si>
  <si>
    <t>Li et al.</t>
  </si>
  <si>
    <t>Blockchain trust management focus - no cybersecurity governance framework analysis</t>
  </si>
  <si>
    <t>Cloud Incident Response: a Comprehensive Analysis</t>
  </si>
  <si>
    <t>Brumă</t>
  </si>
  <si>
    <t>Incident response focus -  outside governance framework scope</t>
  </si>
  <si>
    <t>A review on cloud security issues and solutions</t>
  </si>
  <si>
    <t>Chaudhari et al.</t>
  </si>
  <si>
    <t>General cloud security survey - no governance framework or multi-cloud analysis</t>
  </si>
  <si>
    <t>Cloud-Based Business Process Security Risk Management: a systematic review</t>
  </si>
  <si>
    <t>Abioye et al.</t>
  </si>
  <si>
    <t>Business process risk management focus - not a multi-cloud governance framework comparison</t>
  </si>
  <si>
    <t>Note: One row per unique segment. Each dimension column holds exactly one code from that dimension's mutually exclusive set; 
'n/a' = source does not substantively address the dimension (coverage No) - the source simply never talks about that dimension,; 
'-' = this segment was not the evidence unit for that dimension. Coding decisions per code: sheet 'Coding Book - Detail'.</t>
  </si>
  <si>
    <r>
      <t xml:space="preserve">the </t>
    </r>
    <r>
      <rPr>
        <b/>
        <sz val="16"/>
        <color rgb="FFFFFF00"/>
        <rFont val="Calibri"/>
        <family val="2"/>
      </rPr>
      <t>code</t>
    </r>
    <r>
      <rPr>
        <sz val="16"/>
        <color theme="0"/>
        <rFont val="Calibri"/>
        <family val="2"/>
        <charset val="1"/>
      </rPr>
      <t xml:space="preserve"> says what kind of thing a sentence asserts; </t>
    </r>
    <r>
      <rPr>
        <b/>
        <sz val="16"/>
        <color rgb="FFFFFF00"/>
        <rFont val="Calibri"/>
        <family val="2"/>
      </rPr>
      <t>coverage</t>
    </r>
    <r>
      <rPr>
        <sz val="16"/>
        <color theme="0"/>
        <rFont val="Calibri"/>
        <family val="2"/>
        <charset val="1"/>
      </rPr>
      <t xml:space="preserve"> says how completely the source handles the topic. </t>
    </r>
  </si>
  <si>
    <t xml:space="preserve">From codes to themes - Governance Gap Taxonomy (thesis Table 4.5)
thin codes are D1.1 (single-cloud only), D3.4 (policy talk, no tool), D4.4 (responsibility mentioned, never allocated), D5.X, D2.X. </t>
  </si>
  <si>
    <t xml:space="preserve">if a framework doesn't know multi-cloud exists (D1), then its governance (D2), enforcement (D3), everything else is automatically blind to it too. </t>
  </si>
  <si>
    <t xml:space="preserve">D3.4 seven times — your most frequent thin code. The three Yes ratings (ISO, NIST, Hu) all sit in single-provider or architecture-agnostic context. Convergence → gap → CPCG-1, "no policy synchronisation across providers." 
while reading the D3 evidence, two segments describe a different, second absence: Diningrat (p. 70006) and Ali (p. 11) both describe meaning changing when one policy is translated into AWS SCPs vs Azure Policies vs GCP bindings. That is not "no synchronisation" — that is semantic drift, a structurally separate problem → it earns its own row, CPCG-2, with exactly those two sources in the Evidence column. </t>
  </si>
  <si>
    <r>
      <t xml:space="preserve">"Identity management across several cloud providers </t>
    </r>
    <r>
      <rPr>
        <b/>
        <sz val="9"/>
        <rFont val="Arial"/>
        <family val="2"/>
      </rPr>
      <t>demands</t>
    </r>
    <r>
      <rPr>
        <sz val="9"/>
        <rFont val="Arial"/>
        <family val="2"/>
        <charset val="1"/>
      </rPr>
      <t xml:space="preserve"> IAM systems that deliver uniform identity services between multiple providers who maintain separate authentication protocols and authorization policies" (p.11).</t>
    </r>
  </si>
  <si>
    <t>paper proposes "The Multi-Cloud Security Model brings inter-server
verbal exchange, authentication integrity"; study "The primary goal of this investigation is to create a safe architecture for inter-server communication within multi-cloud systems". (Introduction)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</si>
</sst>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1"/>
      <color theme="1"/>
      <name val="Calibri"/>
      <family val="2"/>
      <charset val="1"/>
    </font>
    <font>
      <b/>
      <sz val="12"/>
      <color theme="0"/>
      <name val="Arial"/>
      <family val="2"/>
      <charset val="1"/>
    </font>
    <font>
      <b/>
      <sz val="10"/>
      <name val="Arial"/>
      <family val="2"/>
      <charset val="1"/>
    </font>
    <font>
      <sz val="10"/>
      <name val="Arial"/>
      <family val="2"/>
      <charset val="1"/>
    </font>
    <font>
      <sz val="11"/>
      <color theme="0"/>
      <name val="Calibri"/>
      <family val="2"/>
      <charset val="1"/>
    </font>
    <font>
      <i/>
      <sz val="11"/>
      <color theme="0"/>
      <name val="Arial"/>
      <family val="2"/>
      <charset val="1"/>
    </font>
    <font>
      <b/>
      <sz val="12"/>
      <name val="Arial"/>
      <family val="2"/>
      <charset val="1"/>
    </font>
    <font>
      <i/>
      <sz val="9"/>
      <name val="Arial"/>
      <family val="2"/>
      <charset val="1"/>
    </font>
    <font>
      <b/>
      <sz val="9"/>
      <name val="Arial"/>
      <family val="2"/>
      <charset val="1"/>
    </font>
    <font>
      <sz val="9"/>
      <name val="Arial"/>
      <family val="2"/>
      <charset val="1"/>
    </font>
    <font>
      <b/>
      <sz val="11"/>
      <color rgb="FFFFFFFF"/>
      <name val="Arial"/>
      <family val="2"/>
      <charset val="1"/>
    </font>
    <font>
      <sz val="14"/>
      <color theme="0"/>
      <name val="Calibri"/>
      <family val="2"/>
      <charset val="1"/>
    </font>
    <font>
      <b/>
      <sz val="11"/>
      <color theme="0"/>
      <name val="Arial"/>
      <family val="2"/>
      <charset val="1"/>
    </font>
    <font>
      <i/>
      <sz val="12"/>
      <color theme="0"/>
      <name val="Arial"/>
      <family val="2"/>
      <charset val="1"/>
    </font>
    <font>
      <b/>
      <sz val="12"/>
      <color theme="0"/>
      <name val="Calibri"/>
      <family val="2"/>
      <charset val="1"/>
    </font>
    <font>
      <i/>
      <sz val="11"/>
      <name val="Calibri"/>
      <family val="2"/>
      <charset val="1"/>
    </font>
    <font>
      <b/>
      <sz val="10"/>
      <color rgb="FFFFFFFF"/>
      <name val="Calibri"/>
      <family val="2"/>
      <charset val="1"/>
    </font>
    <font>
      <sz val="10"/>
      <name val="Calibri"/>
      <family val="2"/>
      <charset val="1"/>
    </font>
    <font>
      <sz val="10"/>
      <color theme="1"/>
      <name val="Calibri"/>
      <family val="2"/>
      <charset val="1"/>
    </font>
    <font>
      <i/>
      <sz val="11"/>
      <color rgb="FF555555"/>
      <name val="Calibri"/>
      <family val="2"/>
      <charset val="1"/>
    </font>
    <font>
      <sz val="10"/>
      <name val="Arial"/>
      <family val="2"/>
    </font>
    <font>
      <b/>
      <sz val="10"/>
      <color rgb="FFFFFFFF"/>
      <name val="Arial"/>
      <family val="2"/>
      <charset val="1"/>
    </font>
    <font>
      <i/>
      <sz val="10"/>
      <name val="Arial"/>
      <family val="2"/>
      <charset val="1"/>
    </font>
    <font>
      <b/>
      <sz val="12"/>
      <color rgb="FF1F4E79"/>
      <name val="Calibri"/>
      <family val="2"/>
      <charset val="1"/>
    </font>
    <font>
      <b/>
      <sz val="11"/>
      <name val="Arial"/>
      <family val="2"/>
      <charset val="1"/>
    </font>
    <font>
      <b/>
      <sz val="11"/>
      <color theme="0"/>
      <name val="Calibri"/>
      <family val="2"/>
      <charset val="1"/>
    </font>
    <font>
      <i/>
      <sz val="10"/>
      <name val="Calibri"/>
      <family val="2"/>
      <charset val="1"/>
    </font>
    <font>
      <sz val="11"/>
      <color theme="1"/>
      <name val="Calibri"/>
      <family val="2"/>
      <charset val="1"/>
    </font>
    <font>
      <sz val="9"/>
      <color rgb="FFFF0000"/>
      <name val="Arial"/>
      <family val="2"/>
      <charset val="1"/>
    </font>
    <font>
      <b/>
      <sz val="9"/>
      <name val="Arial"/>
      <family val="2"/>
    </font>
    <font>
      <sz val="16"/>
      <color theme="0"/>
      <name val="Calibri"/>
      <family val="2"/>
      <charset val="1"/>
    </font>
    <font>
      <b/>
      <sz val="16"/>
      <color rgb="FFFFFF00"/>
      <name val="Calibri"/>
      <family val="2"/>
    </font>
  </fonts>
  <fills count="19">
    <fill>
      <patternFill patternType="none"/>
    </fill>
    <fill>
      <patternFill patternType="gray125"/>
    </fill>
    <fill>
      <patternFill patternType="solid">
        <fgColor theme="6" tint="-0.499984740745262"/>
        <bgColor rgb="FF555555"/>
      </patternFill>
    </fill>
    <fill>
      <patternFill patternType="solid">
        <fgColor theme="0"/>
        <bgColor rgb="FFEBF3FB"/>
      </patternFill>
    </fill>
    <fill>
      <patternFill patternType="solid">
        <fgColor theme="4" tint="0.79979857783745845"/>
        <bgColor rgb="FFD6E4F7"/>
      </patternFill>
    </fill>
    <fill>
      <patternFill patternType="solid">
        <fgColor rgb="FF002060"/>
        <bgColor rgb="FF000080"/>
      </patternFill>
    </fill>
    <fill>
      <patternFill patternType="solid">
        <fgColor theme="2" tint="-0.89999084444715716"/>
        <bgColor rgb="FF333333"/>
      </patternFill>
    </fill>
    <fill>
      <patternFill patternType="solid">
        <fgColor rgb="FFEBF3FB"/>
        <bgColor rgb="FFDBEEF4"/>
      </patternFill>
    </fill>
    <fill>
      <patternFill patternType="solid">
        <fgColor theme="9" tint="0.39979247413556324"/>
        <bgColor rgb="FFBFBFBF"/>
      </patternFill>
    </fill>
    <fill>
      <patternFill patternType="solid">
        <fgColor theme="8" tint="0.79979857783745845"/>
        <bgColor rgb="FFDCE6F2"/>
      </patternFill>
    </fill>
    <fill>
      <patternFill patternType="solid">
        <fgColor theme="3" tint="0.39979247413556324"/>
        <bgColor rgb="FF3366FF"/>
      </patternFill>
    </fill>
    <fill>
      <patternFill patternType="solid">
        <fgColor rgb="FFD6E4F7"/>
        <bgColor rgb="FFDCE6F2"/>
      </patternFill>
    </fill>
    <fill>
      <patternFill patternType="solid">
        <fgColor rgb="FFFCE4D6"/>
        <bgColor rgb="FFE2EFDA"/>
      </patternFill>
    </fill>
    <fill>
      <patternFill patternType="solid">
        <fgColor rgb="FFE2EFDA"/>
        <bgColor rgb="FFD9EAD3"/>
      </patternFill>
    </fill>
    <fill>
      <patternFill patternType="solid">
        <fgColor rgb="FFD9EAD3"/>
        <bgColor rgb="FFE2EFDA"/>
      </patternFill>
    </fill>
    <fill>
      <patternFill patternType="solid">
        <fgColor theme="6" tint="0.79998168889431442"/>
        <bgColor indexed="64"/>
      </patternFill>
    </fill>
    <fill>
      <patternFill patternType="solid">
        <fgColor theme="0"/>
        <bgColor indexed="64"/>
      </patternFill>
    </fill>
    <fill>
      <patternFill patternType="solid">
        <fgColor theme="6" tint="-0.499984740745262"/>
        <bgColor indexed="64"/>
      </patternFill>
    </fill>
    <fill>
      <patternFill patternType="solid">
        <fgColor theme="2" tint="-9.9978637043366805E-2"/>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diagonal/>
    </border>
    <border>
      <left/>
      <right style="thin">
        <color rgb="FFBFBFBF"/>
      </right>
      <top style="thin">
        <color auto="1"/>
      </top>
      <bottom style="thin">
        <color auto="1"/>
      </bottom>
      <diagonal/>
    </border>
    <border>
      <left style="thin">
        <color rgb="FFBFBFBF"/>
      </left>
      <right style="thin">
        <color rgb="FFBFBFBF"/>
      </right>
      <top style="thin">
        <color auto="1"/>
      </top>
      <bottom style="thin">
        <color auto="1"/>
      </bottom>
      <diagonal/>
    </border>
    <border>
      <left style="thin">
        <color rgb="FFBFBFBF"/>
      </left>
      <right style="thin">
        <color auto="1"/>
      </right>
      <top style="thin">
        <color auto="1"/>
      </top>
      <bottom style="thin">
        <color auto="1"/>
      </bottom>
      <diagonal/>
    </border>
    <border>
      <left/>
      <right/>
      <top/>
      <bottom style="thin">
        <color auto="1"/>
      </bottom>
      <diagonal/>
    </border>
    <border>
      <left/>
      <right/>
      <top style="thin">
        <color auto="1"/>
      </top>
      <bottom style="thin">
        <color rgb="FFAAAAAA"/>
      </bottom>
      <diagonal/>
    </border>
    <border>
      <left style="thin">
        <color rgb="FFAAAAAA"/>
      </left>
      <right style="thin">
        <color rgb="FFAAAAAA"/>
      </right>
      <top style="thin">
        <color rgb="FFAAAAAA"/>
      </top>
      <bottom/>
      <diagonal/>
    </border>
    <border>
      <left style="thin">
        <color rgb="FFAAAAAA"/>
      </left>
      <right/>
      <top style="thin">
        <color rgb="FFAAAAAA"/>
      </top>
      <bottom/>
      <diagonal/>
    </border>
    <border>
      <left/>
      <right/>
      <top style="thin">
        <color auto="1"/>
      </top>
      <bottom/>
      <diagonal/>
    </border>
  </borders>
  <cellStyleXfs count="2">
    <xf numFmtId="0" fontId="0" fillId="0" borderId="0"/>
    <xf numFmtId="0" fontId="27" fillId="0" borderId="0"/>
  </cellStyleXfs>
  <cellXfs count="84">
    <xf numFmtId="0" fontId="0" fillId="0" borderId="0" xfId="0"/>
    <xf numFmtId="0" fontId="0" fillId="0" borderId="0" xfId="0" applyAlignment="1">
      <alignment vertical="top" wrapText="1"/>
    </xf>
    <xf numFmtId="0" fontId="2" fillId="3" borderId="1" xfId="0" applyFont="1" applyFill="1" applyBorder="1" applyAlignment="1">
      <alignment vertical="top" wrapText="1"/>
    </xf>
    <xf numFmtId="0" fontId="3" fillId="0" borderId="1" xfId="0" applyFont="1" applyBorder="1" applyAlignment="1">
      <alignment vertical="top" wrapText="1"/>
    </xf>
    <xf numFmtId="0" fontId="2" fillId="4" borderId="1" xfId="0" applyFont="1" applyFill="1" applyBorder="1" applyAlignment="1">
      <alignment vertical="top" wrapText="1"/>
    </xf>
    <xf numFmtId="0" fontId="3" fillId="4" borderId="1" xfId="0" applyFont="1" applyFill="1" applyBorder="1" applyAlignment="1">
      <alignment vertical="top" wrapText="1"/>
    </xf>
    <xf numFmtId="0" fontId="0" fillId="0" borderId="0" xfId="0" applyAlignment="1">
      <alignment horizontal="center"/>
    </xf>
    <xf numFmtId="0" fontId="1" fillId="2" borderId="0" xfId="0" applyFont="1" applyFill="1" applyAlignment="1">
      <alignment vertical="center"/>
    </xf>
    <xf numFmtId="0" fontId="4" fillId="2" borderId="0" xfId="0" applyFont="1" applyFill="1"/>
    <xf numFmtId="0" fontId="0" fillId="2" borderId="0" xfId="0" applyFill="1"/>
    <xf numFmtId="0" fontId="0" fillId="2" borderId="0" xfId="0" applyFill="1" applyAlignment="1">
      <alignment horizontal="center"/>
    </xf>
    <xf numFmtId="0" fontId="5" fillId="2" borderId="0" xfId="0" applyFont="1" applyFill="1" applyAlignment="1">
      <alignment vertical="center"/>
    </xf>
    <xf numFmtId="0" fontId="6" fillId="4" borderId="0" xfId="0" applyFont="1" applyFill="1" applyAlignment="1">
      <alignment vertical="top"/>
    </xf>
    <xf numFmtId="0" fontId="7" fillId="4" borderId="0" xfId="0" applyFont="1" applyFill="1" applyAlignment="1">
      <alignment vertical="top" wrapText="1"/>
    </xf>
    <xf numFmtId="0" fontId="0" fillId="4" borderId="0" xfId="0" applyFill="1" applyAlignment="1">
      <alignment vertical="top"/>
    </xf>
    <xf numFmtId="0" fontId="0" fillId="4" borderId="0" xfId="0" applyFill="1" applyAlignment="1">
      <alignment horizontal="center" vertical="top"/>
    </xf>
    <xf numFmtId="0" fontId="0" fillId="0" borderId="0" xfId="0" applyAlignment="1">
      <alignment vertical="top"/>
    </xf>
    <xf numFmtId="0" fontId="8" fillId="4" borderId="0" xfId="0" applyFont="1" applyFill="1"/>
    <xf numFmtId="0" fontId="10" fillId="5" borderId="2" xfId="0" applyFont="1" applyFill="1" applyBorder="1" applyAlignment="1">
      <alignment horizontal="center" vertical="center" wrapText="1"/>
    </xf>
    <xf numFmtId="0" fontId="8" fillId="0" borderId="1" xfId="0" applyFont="1" applyBorder="1" applyAlignment="1">
      <alignment horizontal="center" vertical="top" wrapText="1"/>
    </xf>
    <xf numFmtId="0" fontId="9" fillId="0" borderId="1" xfId="0" applyFont="1" applyBorder="1" applyAlignment="1">
      <alignment vertical="top" wrapText="1"/>
    </xf>
    <xf numFmtId="0" fontId="9" fillId="0" borderId="1" xfId="0" applyFont="1" applyBorder="1" applyAlignment="1">
      <alignment horizontal="center" vertical="top" wrapText="1"/>
    </xf>
    <xf numFmtId="0" fontId="8" fillId="4" borderId="0" xfId="0" applyFont="1" applyFill="1" applyAlignment="1">
      <alignment vertical="top"/>
    </xf>
    <xf numFmtId="0" fontId="9" fillId="0" borderId="3" xfId="0" applyFont="1" applyBorder="1" applyAlignment="1">
      <alignment vertical="top" wrapText="1"/>
    </xf>
    <xf numFmtId="0" fontId="9" fillId="0" borderId="4" xfId="0" applyFont="1" applyBorder="1" applyAlignment="1">
      <alignment horizontal="center" vertical="top" wrapText="1"/>
    </xf>
    <xf numFmtId="0" fontId="9" fillId="0" borderId="5" xfId="0" applyFont="1" applyBorder="1" applyAlignment="1">
      <alignment horizontal="center" vertical="top" wrapText="1"/>
    </xf>
    <xf numFmtId="0" fontId="12" fillId="5" borderId="1" xfId="0" applyFont="1" applyFill="1" applyBorder="1" applyAlignment="1">
      <alignment horizontal="center" vertical="center" wrapText="1"/>
    </xf>
    <xf numFmtId="0" fontId="9" fillId="0" borderId="1" xfId="0" applyFont="1" applyBorder="1" applyAlignment="1">
      <alignment horizontal="left" vertical="top" wrapText="1"/>
    </xf>
    <xf numFmtId="0" fontId="16" fillId="5" borderId="8" xfId="0" applyFont="1" applyFill="1" applyBorder="1" applyAlignment="1">
      <alignment horizontal="center" vertical="center"/>
    </xf>
    <xf numFmtId="0" fontId="16" fillId="5" borderId="9" xfId="0" applyFont="1" applyFill="1" applyBorder="1" applyAlignment="1">
      <alignment horizontal="center" vertical="center"/>
    </xf>
    <xf numFmtId="0" fontId="16" fillId="5" borderId="8" xfId="0" applyFont="1" applyFill="1" applyBorder="1" applyAlignment="1">
      <alignment horizontal="center" vertical="center" wrapText="1"/>
    </xf>
    <xf numFmtId="0" fontId="17" fillId="3" borderId="1" xfId="0" applyFont="1" applyFill="1" applyBorder="1" applyAlignment="1">
      <alignment vertical="top" wrapText="1"/>
    </xf>
    <xf numFmtId="0" fontId="17" fillId="3" borderId="1" xfId="0" applyFont="1" applyFill="1" applyBorder="1" applyAlignment="1">
      <alignment horizontal="center" vertical="top" wrapText="1"/>
    </xf>
    <xf numFmtId="0" fontId="18" fillId="0" borderId="1" xfId="0" applyFont="1" applyBorder="1" applyAlignment="1">
      <alignment horizontal="center"/>
    </xf>
    <xf numFmtId="0" fontId="17" fillId="7" borderId="1" xfId="0" applyFont="1" applyFill="1" applyBorder="1" applyAlignment="1">
      <alignment vertical="top" wrapText="1"/>
    </xf>
    <xf numFmtId="0" fontId="17" fillId="7" borderId="1" xfId="0" applyFont="1" applyFill="1" applyBorder="1" applyAlignment="1">
      <alignment horizontal="center" vertical="top" wrapText="1"/>
    </xf>
    <xf numFmtId="0" fontId="17" fillId="8" borderId="1" xfId="0" applyFont="1" applyFill="1" applyBorder="1" applyAlignment="1">
      <alignment vertical="top" wrapText="1"/>
    </xf>
    <xf numFmtId="0" fontId="17" fillId="8" borderId="1" xfId="0" applyFont="1" applyFill="1" applyBorder="1" applyAlignment="1">
      <alignment horizontal="center" vertical="top" wrapText="1"/>
    </xf>
    <xf numFmtId="0" fontId="0" fillId="0" borderId="1" xfId="0" applyBorder="1"/>
    <xf numFmtId="0" fontId="0" fillId="0" borderId="0" xfId="0" applyAlignment="1">
      <alignment wrapText="1"/>
    </xf>
    <xf numFmtId="0" fontId="3" fillId="11" borderId="1" xfId="1" applyFont="1" applyFill="1" applyBorder="1" applyAlignment="1">
      <alignment vertical="center"/>
    </xf>
    <xf numFmtId="0" fontId="3" fillId="11" borderId="1" xfId="1" applyFont="1" applyFill="1" applyBorder="1" applyAlignment="1">
      <alignment horizontal="center" vertical="center"/>
    </xf>
    <xf numFmtId="0" fontId="3" fillId="12" borderId="1" xfId="1" applyFont="1" applyFill="1" applyBorder="1" applyAlignment="1">
      <alignment vertical="center"/>
    </xf>
    <xf numFmtId="0" fontId="3" fillId="12" borderId="1" xfId="1" applyFont="1" applyFill="1" applyBorder="1" applyAlignment="1">
      <alignment horizontal="center" vertical="center"/>
    </xf>
    <xf numFmtId="0" fontId="2" fillId="13" borderId="1" xfId="1" applyFont="1" applyFill="1" applyBorder="1" applyAlignment="1">
      <alignment vertical="center"/>
    </xf>
    <xf numFmtId="0" fontId="23" fillId="0" borderId="0" xfId="0" applyFont="1" applyAlignment="1">
      <alignment horizontal="center" wrapText="1"/>
    </xf>
    <xf numFmtId="0" fontId="25" fillId="5" borderId="1" xfId="0" applyFont="1" applyFill="1" applyBorder="1" applyAlignment="1">
      <alignment horizontal="center" vertical="center" wrapText="1"/>
    </xf>
    <xf numFmtId="0" fontId="17" fillId="14" borderId="1" xfId="0" applyFont="1" applyFill="1" applyBorder="1" applyAlignment="1">
      <alignment vertical="top" wrapText="1"/>
    </xf>
    <xf numFmtId="0" fontId="17" fillId="14" borderId="1" xfId="0" applyFont="1" applyFill="1" applyBorder="1" applyAlignment="1">
      <alignment horizontal="center" vertical="top" wrapText="1"/>
    </xf>
    <xf numFmtId="0" fontId="17" fillId="13" borderId="1" xfId="0" applyFont="1" applyFill="1" applyBorder="1" applyAlignment="1">
      <alignment vertical="top" wrapText="1"/>
    </xf>
    <xf numFmtId="0" fontId="17" fillId="13" borderId="1" xfId="0" applyFont="1" applyFill="1" applyBorder="1" applyAlignment="1">
      <alignment horizontal="center" vertical="top" wrapText="1"/>
    </xf>
    <xf numFmtId="0" fontId="26" fillId="12" borderId="1" xfId="0" applyFont="1" applyFill="1" applyBorder="1" applyAlignment="1">
      <alignment vertical="top" wrapText="1"/>
    </xf>
    <xf numFmtId="0" fontId="26" fillId="12" borderId="1" xfId="0" applyFont="1" applyFill="1" applyBorder="1" applyAlignment="1">
      <alignment horizontal="center" vertical="top" wrapText="1"/>
    </xf>
    <xf numFmtId="0" fontId="28" fillId="0" borderId="1" xfId="0" applyFont="1" applyBorder="1" applyAlignment="1">
      <alignment horizontal="center" vertical="top" wrapText="1"/>
    </xf>
    <xf numFmtId="0" fontId="9" fillId="15" borderId="1" xfId="0" applyFont="1" applyFill="1" applyBorder="1" applyAlignment="1">
      <alignment vertical="top" wrapText="1"/>
    </xf>
    <xf numFmtId="0" fontId="9" fillId="15" borderId="1" xfId="0" applyFont="1" applyFill="1" applyBorder="1" applyAlignment="1">
      <alignment horizontal="center" vertical="top" wrapText="1"/>
    </xf>
    <xf numFmtId="0" fontId="28" fillId="15" borderId="1" xfId="0" applyFont="1" applyFill="1" applyBorder="1" applyAlignment="1">
      <alignment horizontal="center" vertical="top" wrapText="1"/>
    </xf>
    <xf numFmtId="0" fontId="29" fillId="15" borderId="1" xfId="0" applyFont="1" applyFill="1" applyBorder="1" applyAlignment="1">
      <alignment horizontal="center" vertical="top" wrapText="1"/>
    </xf>
    <xf numFmtId="0" fontId="9" fillId="16" borderId="1" xfId="0" applyFont="1" applyFill="1" applyBorder="1" applyAlignment="1">
      <alignment horizontal="center" vertical="top" wrapText="1"/>
    </xf>
    <xf numFmtId="0" fontId="28" fillId="16" borderId="1" xfId="0" applyFont="1" applyFill="1" applyBorder="1" applyAlignment="1">
      <alignment horizontal="center" vertical="top" wrapText="1"/>
    </xf>
    <xf numFmtId="0" fontId="8" fillId="15" borderId="1" xfId="0" applyFont="1" applyFill="1" applyBorder="1" applyAlignment="1">
      <alignment horizontal="center" vertical="top" wrapText="1"/>
    </xf>
    <xf numFmtId="0" fontId="9" fillId="18" borderId="1" xfId="0" applyFont="1" applyFill="1" applyBorder="1" applyAlignment="1">
      <alignment horizontal="center" vertical="top" wrapText="1"/>
    </xf>
    <xf numFmtId="0" fontId="9" fillId="18" borderId="1" xfId="0" applyFont="1" applyFill="1" applyBorder="1" applyAlignment="1">
      <alignment vertical="top" wrapText="1"/>
    </xf>
    <xf numFmtId="0" fontId="30" fillId="17" borderId="6" xfId="0" applyFont="1" applyFill="1" applyBorder="1" applyAlignment="1">
      <alignment horizontal="left" vertical="center"/>
    </xf>
    <xf numFmtId="0" fontId="1" fillId="2" borderId="1" xfId="0" applyFont="1" applyFill="1" applyBorder="1" applyAlignment="1">
      <alignment horizontal="center" vertical="center" wrapText="1"/>
    </xf>
    <xf numFmtId="0" fontId="9" fillId="4" borderId="0" xfId="0" applyFont="1" applyFill="1" applyAlignment="1">
      <alignment wrapText="1"/>
    </xf>
    <xf numFmtId="0" fontId="9" fillId="4" borderId="0" xfId="0" applyFont="1" applyFill="1" applyAlignment="1">
      <alignment vertical="top" wrapText="1"/>
    </xf>
    <xf numFmtId="0" fontId="11" fillId="2" borderId="1" xfId="0" applyFont="1" applyFill="1" applyBorder="1" applyAlignment="1">
      <alignment horizontal="left" vertical="center" wrapText="1"/>
    </xf>
    <xf numFmtId="0" fontId="7" fillId="0" borderId="0" xfId="0" applyFont="1"/>
    <xf numFmtId="0" fontId="13" fillId="2" borderId="6" xfId="0" applyFont="1" applyFill="1" applyBorder="1" applyAlignment="1">
      <alignment horizontal="left" vertical="center" wrapText="1"/>
    </xf>
    <xf numFmtId="0" fontId="6" fillId="4" borderId="1" xfId="0" applyFont="1" applyFill="1" applyBorder="1" applyAlignment="1">
      <alignment horizontal="center" vertical="center"/>
    </xf>
    <xf numFmtId="0" fontId="6" fillId="4" borderId="1" xfId="0" applyFont="1" applyFill="1" applyBorder="1" applyAlignment="1">
      <alignment horizontal="center" vertical="top" wrapText="1"/>
    </xf>
    <xf numFmtId="0" fontId="6" fillId="4" borderId="1" xfId="0" applyFont="1" applyFill="1" applyBorder="1" applyAlignment="1">
      <alignment horizontal="center" vertical="top"/>
    </xf>
    <xf numFmtId="0" fontId="14" fillId="6" borderId="1" xfId="0" applyFont="1" applyFill="1" applyBorder="1" applyAlignment="1">
      <alignment horizontal="center"/>
    </xf>
    <xf numFmtId="0" fontId="15" fillId="4" borderId="7" xfId="0" applyFont="1" applyFill="1" applyBorder="1" applyAlignment="1">
      <alignment vertical="center" wrapText="1"/>
    </xf>
    <xf numFmtId="0" fontId="19" fillId="9" borderId="10" xfId="0" applyFont="1" applyFill="1" applyBorder="1" applyAlignment="1">
      <alignment horizontal="left" vertical="center" wrapText="1"/>
    </xf>
    <xf numFmtId="0" fontId="19" fillId="9" borderId="0" xfId="0" applyFont="1" applyFill="1" applyAlignment="1">
      <alignment horizontal="left" vertical="top" wrapText="1"/>
    </xf>
    <xf numFmtId="0" fontId="22" fillId="12" borderId="1" xfId="1" applyFont="1" applyFill="1" applyBorder="1" applyAlignment="1">
      <alignment horizontal="left" vertical="center"/>
    </xf>
    <xf numFmtId="0" fontId="2" fillId="13" borderId="1" xfId="1" applyFont="1" applyFill="1" applyBorder="1" applyAlignment="1">
      <alignment horizontal="left" vertical="center"/>
    </xf>
    <xf numFmtId="0" fontId="24" fillId="4" borderId="1" xfId="1" applyFont="1" applyFill="1" applyBorder="1" applyAlignment="1">
      <alignment horizontal="center" vertical="center"/>
    </xf>
    <xf numFmtId="0" fontId="1" fillId="6" borderId="1" xfId="1" applyFont="1" applyFill="1" applyBorder="1" applyAlignment="1">
      <alignment horizontal="center" vertical="center"/>
    </xf>
    <xf numFmtId="0" fontId="21" fillId="10" borderId="1" xfId="1" applyFont="1" applyFill="1" applyBorder="1" applyAlignment="1">
      <alignment horizontal="center" vertical="center"/>
    </xf>
    <xf numFmtId="0" fontId="22" fillId="11" borderId="1" xfId="1" applyFont="1" applyFill="1" applyBorder="1" applyAlignment="1">
      <alignment horizontal="left" vertical="center"/>
    </xf>
    <xf numFmtId="0" fontId="22" fillId="11" borderId="1" xfId="1" applyFont="1" applyFill="1" applyBorder="1" applyAlignment="1">
      <alignment horizontal="left" vertical="center" wrapText="1"/>
    </xf>
  </cellXfs>
  <cellStyles count="2">
    <cellStyle name="Normal" xfId="0" builtinId="0"/>
    <cellStyle name="Normal 2" xfId="1" xr:uid="{00000000-0005-0000-0000-000006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4F6228"/>
      <rgbColor rgb="FF800080"/>
      <rgbColor rgb="FF008080"/>
      <rgbColor rgb="FFBFBFBF"/>
      <rgbColor rgb="FF558ED5"/>
      <rgbColor rgb="FF9999FF"/>
      <rgbColor rgb="FF993366"/>
      <rgbColor rgb="FFE2EFDA"/>
      <rgbColor rgb="FFDBEEF4"/>
      <rgbColor rgb="FF660066"/>
      <rgbColor rgb="FFFF8080"/>
      <rgbColor rgb="FF0066CC"/>
      <rgbColor rgb="FFD6E4F7"/>
      <rgbColor rgb="FF000080"/>
      <rgbColor rgb="FFFF00FF"/>
      <rgbColor rgb="FFFFFF00"/>
      <rgbColor rgb="FF00FFFF"/>
      <rgbColor rgb="FF800080"/>
      <rgbColor rgb="FF800000"/>
      <rgbColor rgb="FF008080"/>
      <rgbColor rgb="FF0000FF"/>
      <rgbColor rgb="FF00CCFF"/>
      <rgbColor rgb="FFEBF3FB"/>
      <rgbColor rgb="FFD9EAD3"/>
      <rgbColor rgb="FFFCE4D6"/>
      <rgbColor rgb="FFDCE6F2"/>
      <rgbColor rgb="FFFF99CC"/>
      <rgbColor rgb="FFCC99FF"/>
      <rgbColor rgb="FFFAC090"/>
      <rgbColor rgb="FF3366FF"/>
      <rgbColor rgb="FF33CCCC"/>
      <rgbColor rgb="FF99CC00"/>
      <rgbColor rgb="FFFFCC00"/>
      <rgbColor rgb="FFFF9900"/>
      <rgbColor rgb="FFFF6600"/>
      <rgbColor rgb="FF555555"/>
      <rgbColor rgb="FFAAAAAA"/>
      <rgbColor rgb="FF002060"/>
      <rgbColor rgb="FF339966"/>
      <rgbColor rgb="FF003300"/>
      <rgbColor rgb="FF1E1C11"/>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67</xdr:row>
      <xdr:rowOff>0</xdr:rowOff>
    </xdr:from>
    <xdr:to>
      <xdr:col>22</xdr:col>
      <xdr:colOff>170340</xdr:colOff>
      <xdr:row>76</xdr:row>
      <xdr:rowOff>473169</xdr:rowOff>
    </xdr:to>
    <xdr:pic>
      <xdr:nvPicPr>
        <xdr:cNvPr id="3" name="Picture 2">
          <a:extLst>
            <a:ext uri="{FF2B5EF4-FFF2-40B4-BE49-F238E27FC236}">
              <a16:creationId xmlns:a16="http://schemas.microsoft.com/office/drawing/2014/main" id="{F748A212-3B3D-9761-01A8-03C3F7DEA7C9}"/>
            </a:ext>
          </a:extLst>
        </xdr:cNvPr>
        <xdr:cNvPicPr>
          <a:picLocks noChangeAspect="1"/>
        </xdr:cNvPicPr>
      </xdr:nvPicPr>
      <xdr:blipFill>
        <a:blip xmlns:r="http://schemas.openxmlformats.org/officeDocument/2006/relationships" r:embed="rId1"/>
        <a:stretch>
          <a:fillRect/>
        </a:stretch>
      </xdr:blipFill>
      <xdr:spPr>
        <a:xfrm>
          <a:off x="13704794" y="39007676"/>
          <a:ext cx="7887383" cy="3444538"/>
        </a:xfrm>
        <a:prstGeom prst="rect">
          <a:avLst/>
        </a:prstGeom>
      </xdr:spPr>
    </xdr:pic>
    <xdr:clientData/>
  </xdr:twoCellAnchor>
  <xdr:twoCellAnchor editAs="oneCell">
    <xdr:from>
      <xdr:col>9</xdr:col>
      <xdr:colOff>78441</xdr:colOff>
      <xdr:row>72</xdr:row>
      <xdr:rowOff>661147</xdr:rowOff>
    </xdr:from>
    <xdr:to>
      <xdr:col>21</xdr:col>
      <xdr:colOff>587402</xdr:colOff>
      <xdr:row>76</xdr:row>
      <xdr:rowOff>421508</xdr:rowOff>
    </xdr:to>
    <xdr:pic>
      <xdr:nvPicPr>
        <xdr:cNvPr id="4" name="Picture 3">
          <a:extLst>
            <a:ext uri="{FF2B5EF4-FFF2-40B4-BE49-F238E27FC236}">
              <a16:creationId xmlns:a16="http://schemas.microsoft.com/office/drawing/2014/main" id="{3DD0DD8D-C2AB-FBDD-26D7-ED2B5DC824F3}"/>
            </a:ext>
          </a:extLst>
        </xdr:cNvPr>
        <xdr:cNvPicPr>
          <a:picLocks noChangeAspect="1"/>
        </xdr:cNvPicPr>
      </xdr:nvPicPr>
      <xdr:blipFill>
        <a:blip xmlns:r="http://schemas.openxmlformats.org/officeDocument/2006/relationships" r:embed="rId2"/>
        <a:stretch>
          <a:fillRect/>
        </a:stretch>
      </xdr:blipFill>
      <xdr:spPr>
        <a:xfrm>
          <a:off x="13783235" y="42548735"/>
          <a:ext cx="7639712" cy="2732006"/>
        </a:xfrm>
        <a:prstGeom prst="rect">
          <a:avLst/>
        </a:prstGeom>
      </xdr:spPr>
    </xdr:pic>
    <xdr:clientData/>
  </xdr:twoCellAnchor>
  <xdr:twoCellAnchor editAs="oneCell">
    <xdr:from>
      <xdr:col>9</xdr:col>
      <xdr:colOff>156882</xdr:colOff>
      <xdr:row>76</xdr:row>
      <xdr:rowOff>358588</xdr:rowOff>
    </xdr:from>
    <xdr:to>
      <xdr:col>21</xdr:col>
      <xdr:colOff>21897</xdr:colOff>
      <xdr:row>79</xdr:row>
      <xdr:rowOff>1005998</xdr:rowOff>
    </xdr:to>
    <xdr:pic>
      <xdr:nvPicPr>
        <xdr:cNvPr id="5" name="Picture 4">
          <a:extLst>
            <a:ext uri="{FF2B5EF4-FFF2-40B4-BE49-F238E27FC236}">
              <a16:creationId xmlns:a16="http://schemas.microsoft.com/office/drawing/2014/main" id="{ECE10219-0601-4FAA-C715-CBC564CCEDDB}"/>
            </a:ext>
          </a:extLst>
        </xdr:cNvPr>
        <xdr:cNvPicPr>
          <a:picLocks noChangeAspect="1"/>
        </xdr:cNvPicPr>
      </xdr:nvPicPr>
      <xdr:blipFill>
        <a:blip xmlns:r="http://schemas.openxmlformats.org/officeDocument/2006/relationships" r:embed="rId3"/>
        <a:stretch>
          <a:fillRect/>
        </a:stretch>
      </xdr:blipFill>
      <xdr:spPr>
        <a:xfrm>
          <a:off x="13861676" y="45271764"/>
          <a:ext cx="6988146" cy="2326206"/>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zoomScale="85" zoomScaleNormal="85" workbookViewId="0">
      <selection activeCell="H5" sqref="H5"/>
    </sheetView>
  </sheetViews>
  <sheetFormatPr defaultColWidth="8.6640625" defaultRowHeight="14.4" x14ac:dyDescent="0.3"/>
  <cols>
    <col min="1" max="1" width="29.21875" style="1" customWidth="1"/>
    <col min="2" max="2" width="82.77734375" style="1" customWidth="1"/>
    <col min="3" max="16384" width="8.6640625" style="1"/>
  </cols>
  <sheetData>
    <row r="1" spans="1:2" ht="30.75" customHeight="1" x14ac:dyDescent="0.3">
      <c r="A1" s="64" t="s">
        <v>0</v>
      </c>
      <c r="B1" s="64"/>
    </row>
    <row r="2" spans="1:2" ht="92.25" customHeight="1" x14ac:dyDescent="0.3">
      <c r="A2" s="2" t="s">
        <v>1</v>
      </c>
      <c r="B2" s="3" t="s">
        <v>2</v>
      </c>
    </row>
    <row r="3" spans="1:2" ht="52.5" customHeight="1" x14ac:dyDescent="0.3">
      <c r="A3" s="4" t="s">
        <v>3</v>
      </c>
      <c r="B3" s="5" t="s">
        <v>4</v>
      </c>
    </row>
    <row r="4" spans="1:2" ht="39" customHeight="1" x14ac:dyDescent="0.3">
      <c r="A4" s="2" t="s">
        <v>5</v>
      </c>
      <c r="B4" s="3" t="s">
        <v>6</v>
      </c>
    </row>
    <row r="5" spans="1:2" ht="66" customHeight="1" x14ac:dyDescent="0.3">
      <c r="A5" s="4" t="s">
        <v>7</v>
      </c>
      <c r="B5" s="5" t="s">
        <v>8</v>
      </c>
    </row>
    <row r="6" spans="1:2" ht="26.25" customHeight="1" x14ac:dyDescent="0.3">
      <c r="A6" s="2" t="s">
        <v>9</v>
      </c>
      <c r="B6" s="3" t="s">
        <v>10</v>
      </c>
    </row>
    <row r="7" spans="1:2" ht="170.25" customHeight="1" x14ac:dyDescent="0.3">
      <c r="A7" s="4" t="s">
        <v>11</v>
      </c>
      <c r="B7" s="5" t="s">
        <v>12</v>
      </c>
    </row>
    <row r="8" spans="1:2" ht="171" customHeight="1" x14ac:dyDescent="0.3">
      <c r="A8" s="2" t="s">
        <v>13</v>
      </c>
      <c r="B8" s="3" t="s">
        <v>14</v>
      </c>
    </row>
  </sheetData>
  <mergeCells count="1">
    <mergeCell ref="A1:B1"/>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0"/>
  <sheetViews>
    <sheetView tabSelected="1" topLeftCell="A34" zoomScaleNormal="100" workbookViewId="0">
      <selection activeCell="B58" sqref="B58"/>
    </sheetView>
  </sheetViews>
  <sheetFormatPr defaultColWidth="8.6640625" defaultRowHeight="14.4" x14ac:dyDescent="0.3"/>
  <cols>
    <col min="1" max="1" width="10" customWidth="1"/>
    <col min="2" max="2" width="40" customWidth="1"/>
    <col min="3" max="3" width="64" customWidth="1"/>
    <col min="4" max="4" width="34" customWidth="1"/>
    <col min="5" max="5" width="26" style="6" customWidth="1"/>
    <col min="6" max="6" width="16" style="6" customWidth="1"/>
  </cols>
  <sheetData>
    <row r="1" spans="1:6" ht="15" customHeight="1" x14ac:dyDescent="0.3">
      <c r="A1" s="7" t="s">
        <v>15</v>
      </c>
      <c r="B1" s="8"/>
      <c r="C1" s="8"/>
      <c r="D1" s="9"/>
      <c r="E1" s="10"/>
      <c r="F1" s="10"/>
    </row>
    <row r="2" spans="1:6" ht="31.5" customHeight="1" x14ac:dyDescent="0.3">
      <c r="A2" s="11" t="s">
        <v>16</v>
      </c>
      <c r="B2" s="8"/>
      <c r="C2" s="8"/>
      <c r="D2" s="9"/>
      <c r="E2" s="10"/>
      <c r="F2" s="10"/>
    </row>
    <row r="4" spans="1:6" s="16" customFormat="1" ht="33.75" customHeight="1" x14ac:dyDescent="0.3">
      <c r="A4" s="12" t="s">
        <v>17</v>
      </c>
      <c r="B4" s="12" t="s">
        <v>18</v>
      </c>
      <c r="C4" s="13" t="s">
        <v>19</v>
      </c>
      <c r="D4" s="14"/>
      <c r="E4" s="15"/>
      <c r="F4" s="15"/>
    </row>
    <row r="5" spans="1:6" ht="15" customHeight="1" x14ac:dyDescent="0.3">
      <c r="A5" s="17" t="s">
        <v>20</v>
      </c>
      <c r="B5" s="65" t="s">
        <v>21</v>
      </c>
      <c r="C5" s="65"/>
      <c r="D5" s="65"/>
      <c r="E5" s="65"/>
      <c r="F5" s="65"/>
    </row>
    <row r="6" spans="1:6" ht="30" customHeight="1" x14ac:dyDescent="0.3">
      <c r="A6" s="18" t="s">
        <v>22</v>
      </c>
      <c r="B6" s="18" t="s">
        <v>23</v>
      </c>
      <c r="C6" s="18" t="s">
        <v>24</v>
      </c>
      <c r="D6" s="18" t="s">
        <v>25</v>
      </c>
      <c r="E6" s="18" t="s">
        <v>26</v>
      </c>
      <c r="F6" s="18" t="s">
        <v>27</v>
      </c>
    </row>
    <row r="7" spans="1:6" ht="22.5" customHeight="1" x14ac:dyDescent="0.3">
      <c r="A7" s="60" t="s">
        <v>28</v>
      </c>
      <c r="B7" s="54" t="s">
        <v>29</v>
      </c>
      <c r="C7" s="20" t="s">
        <v>30</v>
      </c>
      <c r="D7" s="20" t="s">
        <v>31</v>
      </c>
      <c r="E7" s="21" t="s">
        <v>32</v>
      </c>
      <c r="F7" s="61">
        <f>COUNTIF('Coding Book - Detail'!C:C,A7)</f>
        <v>7</v>
      </c>
    </row>
    <row r="8" spans="1:6" x14ac:dyDescent="0.3">
      <c r="A8" s="19" t="s">
        <v>33</v>
      </c>
      <c r="B8" s="20" t="s">
        <v>34</v>
      </c>
      <c r="C8" s="20" t="s">
        <v>35</v>
      </c>
      <c r="D8" s="20" t="s">
        <v>31</v>
      </c>
      <c r="E8" s="21" t="s">
        <v>32</v>
      </c>
      <c r="F8" s="58">
        <f>COUNTIF('Coding Book - Detail'!C:C,A8)</f>
        <v>0</v>
      </c>
    </row>
    <row r="9" spans="1:6" ht="22.5" customHeight="1" x14ac:dyDescent="0.3">
      <c r="A9" s="19" t="s">
        <v>36</v>
      </c>
      <c r="B9" s="20" t="s">
        <v>37</v>
      </c>
      <c r="C9" s="20" t="s">
        <v>38</v>
      </c>
      <c r="D9" s="20" t="s">
        <v>39</v>
      </c>
      <c r="E9" s="21" t="s">
        <v>40</v>
      </c>
      <c r="F9" s="58">
        <f>COUNTIF('Coding Book - Detail'!C:C,A9)</f>
        <v>5</v>
      </c>
    </row>
    <row r="10" spans="1:6" ht="22.5" customHeight="1" x14ac:dyDescent="0.3">
      <c r="A10" s="19" t="s">
        <v>41</v>
      </c>
      <c r="B10" s="20" t="s">
        <v>42</v>
      </c>
      <c r="C10" s="20" t="s">
        <v>43</v>
      </c>
      <c r="D10" s="20" t="s">
        <v>44</v>
      </c>
      <c r="E10" s="21" t="s">
        <v>40</v>
      </c>
      <c r="F10" s="58">
        <f>COUNTIF('Coding Book - Detail'!C:C,A10)</f>
        <v>2</v>
      </c>
    </row>
    <row r="12" spans="1:6" s="16" customFormat="1" ht="22.5" customHeight="1" x14ac:dyDescent="0.3">
      <c r="A12" s="12" t="s">
        <v>45</v>
      </c>
      <c r="B12" s="12" t="s">
        <v>46</v>
      </c>
      <c r="C12" s="13" t="s">
        <v>47</v>
      </c>
      <c r="D12" s="14"/>
      <c r="E12" s="15"/>
      <c r="F12" s="15"/>
    </row>
    <row r="13" spans="1:6" s="16" customFormat="1" ht="21.75" customHeight="1" x14ac:dyDescent="0.3">
      <c r="A13" s="22" t="s">
        <v>20</v>
      </c>
      <c r="B13" s="66" t="s">
        <v>48</v>
      </c>
      <c r="C13" s="66"/>
      <c r="D13" s="66"/>
      <c r="E13" s="66"/>
      <c r="F13" s="66"/>
    </row>
    <row r="14" spans="1:6" ht="28.5" customHeight="1" x14ac:dyDescent="0.3">
      <c r="A14" s="18" t="s">
        <v>22</v>
      </c>
      <c r="B14" s="18" t="s">
        <v>23</v>
      </c>
      <c r="C14" s="18" t="s">
        <v>24</v>
      </c>
      <c r="D14" s="18" t="s">
        <v>25</v>
      </c>
      <c r="E14" s="18" t="s">
        <v>26</v>
      </c>
      <c r="F14" s="18" t="s">
        <v>27</v>
      </c>
    </row>
    <row r="15" spans="1:6" x14ac:dyDescent="0.3">
      <c r="A15" s="19" t="s">
        <v>49</v>
      </c>
      <c r="B15" s="20" t="s">
        <v>50</v>
      </c>
      <c r="C15" s="20" t="s">
        <v>51</v>
      </c>
      <c r="D15" s="20" t="s">
        <v>52</v>
      </c>
      <c r="E15" s="21" t="s">
        <v>32</v>
      </c>
      <c r="F15" s="21">
        <f>COUNTIF('Coding Book - Detail'!C:C,A15)</f>
        <v>0</v>
      </c>
    </row>
    <row r="16" spans="1:6" x14ac:dyDescent="0.3">
      <c r="A16" s="19" t="s">
        <v>53</v>
      </c>
      <c r="B16" s="20" t="s">
        <v>54</v>
      </c>
      <c r="C16" s="20" t="s">
        <v>55</v>
      </c>
      <c r="D16" s="20" t="s">
        <v>56</v>
      </c>
      <c r="E16" s="21" t="s">
        <v>32</v>
      </c>
      <c r="F16" s="21">
        <f>COUNTIF('Coding Book - Detail'!C:C,A16)</f>
        <v>0</v>
      </c>
    </row>
    <row r="17" spans="1:6" x14ac:dyDescent="0.3">
      <c r="A17" s="19" t="s">
        <v>57</v>
      </c>
      <c r="B17" s="20" t="s">
        <v>58</v>
      </c>
      <c r="C17" s="20" t="s">
        <v>59</v>
      </c>
      <c r="D17" s="20" t="s">
        <v>60</v>
      </c>
      <c r="E17" s="21" t="s">
        <v>32</v>
      </c>
      <c r="F17" s="21">
        <f>COUNTIF('Coding Book - Detail'!C:C,A17)</f>
        <v>0</v>
      </c>
    </row>
    <row r="18" spans="1:6" x14ac:dyDescent="0.3">
      <c r="A18" s="19" t="s">
        <v>61</v>
      </c>
      <c r="B18" s="20" t="s">
        <v>62</v>
      </c>
      <c r="C18" s="20" t="s">
        <v>63</v>
      </c>
      <c r="D18" s="20" t="s">
        <v>64</v>
      </c>
      <c r="E18" s="21" t="s">
        <v>32</v>
      </c>
      <c r="F18" s="21">
        <f>COUNTIF('Coding Book - Detail'!C:C,A18)</f>
        <v>1</v>
      </c>
    </row>
    <row r="19" spans="1:6" x14ac:dyDescent="0.3">
      <c r="A19" s="19" t="s">
        <v>65</v>
      </c>
      <c r="B19" s="20" t="s">
        <v>66</v>
      </c>
      <c r="C19" s="20" t="s">
        <v>67</v>
      </c>
      <c r="D19" s="20" t="s">
        <v>68</v>
      </c>
      <c r="E19" s="21" t="s">
        <v>32</v>
      </c>
      <c r="F19" s="21">
        <f>COUNTIF('Coding Book - Detail'!C:C,A19)</f>
        <v>0</v>
      </c>
    </row>
    <row r="20" spans="1:6" x14ac:dyDescent="0.3">
      <c r="A20" s="19" t="s">
        <v>69</v>
      </c>
      <c r="B20" s="20" t="s">
        <v>70</v>
      </c>
      <c r="C20" s="20" t="s">
        <v>71</v>
      </c>
      <c r="D20" s="20" t="s">
        <v>72</v>
      </c>
      <c r="E20" s="21" t="s">
        <v>32</v>
      </c>
      <c r="F20" s="21">
        <f>COUNTIF('Coding Book - Detail'!C:C,A20)</f>
        <v>0</v>
      </c>
    </row>
    <row r="21" spans="1:6" ht="22.5" customHeight="1" x14ac:dyDescent="0.3">
      <c r="A21" s="19" t="s">
        <v>73</v>
      </c>
      <c r="B21" s="20" t="s">
        <v>74</v>
      </c>
      <c r="C21" s="20" t="s">
        <v>75</v>
      </c>
      <c r="D21" s="20" t="s">
        <v>76</v>
      </c>
      <c r="E21" s="21" t="s">
        <v>40</v>
      </c>
      <c r="F21" s="21">
        <f>COUNTIF('Coding Book - Detail'!C:C,A21)</f>
        <v>7</v>
      </c>
    </row>
    <row r="22" spans="1:6" ht="22.5" customHeight="1" x14ac:dyDescent="0.3">
      <c r="A22" s="60" t="s">
        <v>77</v>
      </c>
      <c r="B22" s="54" t="s">
        <v>78</v>
      </c>
      <c r="C22" s="20" t="s">
        <v>79</v>
      </c>
      <c r="D22" s="20" t="s">
        <v>80</v>
      </c>
      <c r="E22" s="21" t="s">
        <v>40</v>
      </c>
      <c r="F22" s="61">
        <f>COUNTIF('Coding Book - Detail'!C:C,A22)</f>
        <v>4</v>
      </c>
    </row>
    <row r="24" spans="1:6" s="16" customFormat="1" ht="22.5" customHeight="1" x14ac:dyDescent="0.3">
      <c r="A24" s="12" t="s">
        <v>81</v>
      </c>
      <c r="B24" s="12" t="s">
        <v>82</v>
      </c>
      <c r="C24" s="13" t="s">
        <v>83</v>
      </c>
      <c r="D24" s="14"/>
      <c r="E24" s="15"/>
      <c r="F24" s="15"/>
    </row>
    <row r="25" spans="1:6" ht="15" customHeight="1" x14ac:dyDescent="0.3">
      <c r="A25" s="17" t="s">
        <v>20</v>
      </c>
      <c r="B25" s="65" t="s">
        <v>84</v>
      </c>
      <c r="C25" s="65"/>
      <c r="D25" s="65"/>
      <c r="E25" s="65"/>
      <c r="F25" s="65"/>
    </row>
    <row r="26" spans="1:6" ht="28.5" customHeight="1" x14ac:dyDescent="0.3">
      <c r="A26" s="18" t="s">
        <v>22</v>
      </c>
      <c r="B26" s="18" t="s">
        <v>23</v>
      </c>
      <c r="C26" s="18" t="s">
        <v>24</v>
      </c>
      <c r="D26" s="18" t="s">
        <v>25</v>
      </c>
      <c r="E26" s="18" t="s">
        <v>26</v>
      </c>
      <c r="F26" s="18" t="s">
        <v>27</v>
      </c>
    </row>
    <row r="27" spans="1:6" ht="22.5" customHeight="1" x14ac:dyDescent="0.3">
      <c r="A27" s="19" t="s">
        <v>85</v>
      </c>
      <c r="B27" s="20" t="s">
        <v>86</v>
      </c>
      <c r="C27" s="20" t="s">
        <v>87</v>
      </c>
      <c r="D27" s="20" t="s">
        <v>88</v>
      </c>
      <c r="E27" s="21" t="s">
        <v>32</v>
      </c>
      <c r="F27" s="21">
        <f>COUNTIF('Coding Book - Detail'!C:C,A27)</f>
        <v>4</v>
      </c>
    </row>
    <row r="28" spans="1:6" ht="22.5" customHeight="1" x14ac:dyDescent="0.3">
      <c r="A28" s="19" t="s">
        <v>89</v>
      </c>
      <c r="B28" s="20" t="s">
        <v>90</v>
      </c>
      <c r="C28" s="20" t="s">
        <v>91</v>
      </c>
      <c r="D28" s="20" t="s">
        <v>88</v>
      </c>
      <c r="E28" s="21" t="s">
        <v>32</v>
      </c>
      <c r="F28" s="21">
        <f>COUNTIF('Coding Book - Detail'!C:C,A28)</f>
        <v>0</v>
      </c>
    </row>
    <row r="29" spans="1:6" ht="22.5" customHeight="1" x14ac:dyDescent="0.3">
      <c r="A29" s="19" t="s">
        <v>92</v>
      </c>
      <c r="B29" s="20" t="s">
        <v>93</v>
      </c>
      <c r="C29" s="20" t="s">
        <v>94</v>
      </c>
      <c r="D29" s="20" t="s">
        <v>88</v>
      </c>
      <c r="E29" s="21" t="s">
        <v>32</v>
      </c>
      <c r="F29" s="21">
        <f>COUNTIF('Coding Book - Detail'!C:C,A29)</f>
        <v>0</v>
      </c>
    </row>
    <row r="30" spans="1:6" ht="22.5" customHeight="1" x14ac:dyDescent="0.3">
      <c r="A30" s="60" t="s">
        <v>95</v>
      </c>
      <c r="B30" s="54" t="s">
        <v>96</v>
      </c>
      <c r="C30" s="20" t="s">
        <v>97</v>
      </c>
      <c r="D30" s="20" t="s">
        <v>80</v>
      </c>
      <c r="E30" s="21" t="s">
        <v>40</v>
      </c>
      <c r="F30" s="21">
        <f>COUNTIF('Coding Book - Detail'!C:C,A30)</f>
        <v>7</v>
      </c>
    </row>
    <row r="32" spans="1:6" ht="22.5" customHeight="1" x14ac:dyDescent="0.3">
      <c r="A32" s="12" t="s">
        <v>98</v>
      </c>
      <c r="B32" s="12" t="s">
        <v>99</v>
      </c>
      <c r="C32" s="13" t="s">
        <v>100</v>
      </c>
      <c r="D32" s="14"/>
      <c r="E32" s="15"/>
      <c r="F32" s="15"/>
    </row>
    <row r="33" spans="1:6" ht="15" customHeight="1" x14ac:dyDescent="0.3">
      <c r="A33" s="17" t="s">
        <v>20</v>
      </c>
      <c r="B33" s="65" t="s">
        <v>101</v>
      </c>
      <c r="C33" s="65"/>
      <c r="D33" s="65"/>
      <c r="E33" s="65"/>
      <c r="F33" s="65"/>
    </row>
    <row r="34" spans="1:6" ht="30" customHeight="1" x14ac:dyDescent="0.3">
      <c r="A34" s="18" t="s">
        <v>22</v>
      </c>
      <c r="B34" s="18" t="s">
        <v>23</v>
      </c>
      <c r="C34" s="18" t="s">
        <v>24</v>
      </c>
      <c r="D34" s="18" t="s">
        <v>25</v>
      </c>
      <c r="E34" s="18" t="s">
        <v>26</v>
      </c>
      <c r="F34" s="18" t="s">
        <v>27</v>
      </c>
    </row>
    <row r="35" spans="1:6" x14ac:dyDescent="0.3">
      <c r="A35" s="19" t="s">
        <v>102</v>
      </c>
      <c r="B35" s="20" t="s">
        <v>103</v>
      </c>
      <c r="C35" s="20" t="s">
        <v>104</v>
      </c>
      <c r="D35" s="20" t="s">
        <v>105</v>
      </c>
      <c r="E35" s="21" t="s">
        <v>32</v>
      </c>
      <c r="F35" s="21">
        <f>COUNTIF('Coding Book - Detail'!C:C,A35)</f>
        <v>0</v>
      </c>
    </row>
    <row r="36" spans="1:6" x14ac:dyDescent="0.3">
      <c r="A36" s="19" t="s">
        <v>106</v>
      </c>
      <c r="B36" s="20" t="s">
        <v>107</v>
      </c>
      <c r="C36" s="20" t="s">
        <v>108</v>
      </c>
      <c r="D36" s="20" t="s">
        <v>105</v>
      </c>
      <c r="E36" s="21" t="s">
        <v>32</v>
      </c>
      <c r="F36" s="21">
        <f>COUNTIF('Coding Book - Detail'!C:C,A36)</f>
        <v>0</v>
      </c>
    </row>
    <row r="37" spans="1:6" ht="22.5" customHeight="1" x14ac:dyDescent="0.3">
      <c r="A37" s="19" t="s">
        <v>109</v>
      </c>
      <c r="B37" s="20" t="s">
        <v>110</v>
      </c>
      <c r="C37" s="20" t="s">
        <v>111</v>
      </c>
      <c r="D37" s="20" t="s">
        <v>105</v>
      </c>
      <c r="E37" s="21" t="s">
        <v>32</v>
      </c>
      <c r="F37" s="21">
        <f>COUNTIF('Coding Book - Detail'!C:C,A37)</f>
        <v>4</v>
      </c>
    </row>
    <row r="38" spans="1:6" x14ac:dyDescent="0.3">
      <c r="A38" s="60" t="s">
        <v>112</v>
      </c>
      <c r="B38" s="54" t="s">
        <v>113</v>
      </c>
      <c r="C38" s="20" t="s">
        <v>114</v>
      </c>
      <c r="D38" s="20" t="s">
        <v>80</v>
      </c>
      <c r="E38" s="21" t="s">
        <v>40</v>
      </c>
      <c r="F38" s="21">
        <f>COUNTIF('Coding Book - Detail'!C:C,A38)</f>
        <v>3</v>
      </c>
    </row>
    <row r="40" spans="1:6" ht="22.5" customHeight="1" x14ac:dyDescent="0.3">
      <c r="A40" s="12" t="s">
        <v>115</v>
      </c>
      <c r="B40" s="12" t="s">
        <v>116</v>
      </c>
      <c r="C40" s="13" t="s">
        <v>117</v>
      </c>
      <c r="D40" s="14"/>
      <c r="E40" s="15"/>
      <c r="F40" s="15"/>
    </row>
    <row r="41" spans="1:6" ht="15" customHeight="1" x14ac:dyDescent="0.3">
      <c r="A41" s="17" t="s">
        <v>20</v>
      </c>
      <c r="B41" s="65" t="s">
        <v>118</v>
      </c>
      <c r="C41" s="65"/>
      <c r="D41" s="65"/>
      <c r="E41" s="65"/>
      <c r="F41" s="65"/>
    </row>
    <row r="42" spans="1:6" ht="28.5" customHeight="1" x14ac:dyDescent="0.3">
      <c r="A42" s="18" t="s">
        <v>22</v>
      </c>
      <c r="B42" s="18" t="s">
        <v>23</v>
      </c>
      <c r="C42" s="18" t="s">
        <v>24</v>
      </c>
      <c r="D42" s="18" t="s">
        <v>25</v>
      </c>
      <c r="E42" s="18" t="s">
        <v>26</v>
      </c>
      <c r="F42" s="18" t="s">
        <v>27</v>
      </c>
    </row>
    <row r="43" spans="1:6" x14ac:dyDescent="0.3">
      <c r="A43" s="19" t="s">
        <v>119</v>
      </c>
      <c r="B43" s="20" t="s">
        <v>120</v>
      </c>
      <c r="C43" s="20" t="s">
        <v>121</v>
      </c>
      <c r="D43" s="20" t="s">
        <v>122</v>
      </c>
      <c r="E43" s="21" t="s">
        <v>32</v>
      </c>
      <c r="F43" s="21">
        <f>COUNTIF('Coding Book - Detail'!C:C,A43)</f>
        <v>4</v>
      </c>
    </row>
    <row r="44" spans="1:6" x14ac:dyDescent="0.3">
      <c r="A44" s="19" t="s">
        <v>123</v>
      </c>
      <c r="B44" s="20" t="s">
        <v>124</v>
      </c>
      <c r="C44" s="20" t="s">
        <v>125</v>
      </c>
      <c r="D44" s="20" t="s">
        <v>126</v>
      </c>
      <c r="E44" s="21" t="s">
        <v>32</v>
      </c>
      <c r="F44" s="21">
        <f>COUNTIF('Coding Book - Detail'!C:C,A44)</f>
        <v>0</v>
      </c>
    </row>
    <row r="45" spans="1:6" x14ac:dyDescent="0.3">
      <c r="A45" s="19" t="s">
        <v>127</v>
      </c>
      <c r="B45" s="20" t="s">
        <v>128</v>
      </c>
      <c r="C45" s="20" t="s">
        <v>129</v>
      </c>
      <c r="D45" s="20" t="s">
        <v>130</v>
      </c>
      <c r="E45" s="21" t="s">
        <v>32</v>
      </c>
      <c r="F45" s="21">
        <f>COUNTIF('Coding Book - Detail'!C:C,A45)</f>
        <v>6</v>
      </c>
    </row>
    <row r="46" spans="1:6" x14ac:dyDescent="0.3">
      <c r="A46" s="19" t="s">
        <v>131</v>
      </c>
      <c r="B46" s="20" t="s">
        <v>132</v>
      </c>
      <c r="C46" s="20" t="s">
        <v>133</v>
      </c>
      <c r="D46" s="20" t="s">
        <v>134</v>
      </c>
      <c r="E46" s="21" t="s">
        <v>32</v>
      </c>
      <c r="F46" s="21">
        <f>COUNTIF('Coding Book - Detail'!C:C,A46)</f>
        <v>0</v>
      </c>
    </row>
    <row r="47" spans="1:6" x14ac:dyDescent="0.3">
      <c r="A47" s="60" t="s">
        <v>135</v>
      </c>
      <c r="B47" s="54" t="s">
        <v>136</v>
      </c>
      <c r="C47" s="20" t="s">
        <v>137</v>
      </c>
      <c r="D47" s="20" t="s">
        <v>80</v>
      </c>
      <c r="E47" s="21" t="s">
        <v>40</v>
      </c>
      <c r="F47" s="21">
        <f>COUNTIF('Coding Book - Detail'!C:C,A47)</f>
        <v>2</v>
      </c>
    </row>
    <row r="49" spans="1:6" ht="33.75" customHeight="1" x14ac:dyDescent="0.3">
      <c r="A49" s="12" t="s">
        <v>138</v>
      </c>
      <c r="B49" s="12" t="s">
        <v>139</v>
      </c>
      <c r="C49" s="13" t="s">
        <v>140</v>
      </c>
      <c r="D49" s="14"/>
      <c r="E49" s="15"/>
      <c r="F49" s="15"/>
    </row>
    <row r="50" spans="1:6" ht="15" customHeight="1" x14ac:dyDescent="0.3">
      <c r="A50" s="17" t="s">
        <v>20</v>
      </c>
      <c r="B50" s="65" t="s">
        <v>141</v>
      </c>
      <c r="C50" s="65"/>
      <c r="D50" s="65"/>
      <c r="E50" s="65"/>
      <c r="F50" s="65"/>
    </row>
    <row r="51" spans="1:6" ht="27" customHeight="1" x14ac:dyDescent="0.3">
      <c r="A51" s="18" t="s">
        <v>22</v>
      </c>
      <c r="B51" s="18" t="s">
        <v>23</v>
      </c>
      <c r="C51" s="18" t="s">
        <v>24</v>
      </c>
      <c r="D51" s="18" t="s">
        <v>25</v>
      </c>
      <c r="E51" s="18" t="s">
        <v>26</v>
      </c>
      <c r="F51" s="18" t="s">
        <v>27</v>
      </c>
    </row>
    <row r="52" spans="1:6" x14ac:dyDescent="0.3">
      <c r="A52" s="19" t="s">
        <v>142</v>
      </c>
      <c r="B52" s="20" t="s">
        <v>143</v>
      </c>
      <c r="C52" s="20" t="s">
        <v>144</v>
      </c>
      <c r="D52" s="20" t="s">
        <v>145</v>
      </c>
      <c r="E52" s="21" t="s">
        <v>32</v>
      </c>
      <c r="F52" s="21">
        <f>COUNTIF('Coding Book - Detail'!C:C,A52)</f>
        <v>4</v>
      </c>
    </row>
    <row r="53" spans="1:6" x14ac:dyDescent="0.3">
      <c r="A53" s="19" t="s">
        <v>146</v>
      </c>
      <c r="B53" s="20" t="s">
        <v>147</v>
      </c>
      <c r="C53" s="20" t="s">
        <v>148</v>
      </c>
      <c r="D53" s="20" t="s">
        <v>149</v>
      </c>
      <c r="E53" s="21" t="s">
        <v>32</v>
      </c>
      <c r="F53" s="21">
        <f>COUNTIF('Coding Book - Detail'!C:C,A53)</f>
        <v>0</v>
      </c>
    </row>
    <row r="54" spans="1:6" x14ac:dyDescent="0.3">
      <c r="A54" s="19" t="s">
        <v>150</v>
      </c>
      <c r="B54" s="20" t="s">
        <v>151</v>
      </c>
      <c r="C54" s="20" t="s">
        <v>152</v>
      </c>
      <c r="D54" s="20" t="s">
        <v>153</v>
      </c>
      <c r="E54" s="21" t="s">
        <v>32</v>
      </c>
      <c r="F54" s="21">
        <f>COUNTIF('Coding Book - Detail'!C:C,A54)</f>
        <v>0</v>
      </c>
    </row>
    <row r="55" spans="1:6" x14ac:dyDescent="0.3">
      <c r="A55" s="19" t="s">
        <v>154</v>
      </c>
      <c r="B55" s="20" t="s">
        <v>155</v>
      </c>
      <c r="C55" s="20" t="s">
        <v>156</v>
      </c>
      <c r="D55" s="20" t="s">
        <v>157</v>
      </c>
      <c r="E55" s="21" t="s">
        <v>32</v>
      </c>
      <c r="F55" s="21">
        <f>COUNTIF('Coding Book - Detail'!C:C,A55)</f>
        <v>0</v>
      </c>
    </row>
    <row r="56" spans="1:6" x14ac:dyDescent="0.3">
      <c r="A56" s="19" t="s">
        <v>158</v>
      </c>
      <c r="B56" s="20" t="s">
        <v>159</v>
      </c>
      <c r="C56" s="20" t="s">
        <v>160</v>
      </c>
      <c r="D56" s="20" t="s">
        <v>161</v>
      </c>
      <c r="E56" s="21" t="s">
        <v>32</v>
      </c>
      <c r="F56" s="21">
        <f>COUNTIF('Coding Book - Detail'!C:C,A56)</f>
        <v>0</v>
      </c>
    </row>
    <row r="57" spans="1:6" x14ac:dyDescent="0.3">
      <c r="A57" s="19" t="s">
        <v>162</v>
      </c>
      <c r="B57" s="20" t="s">
        <v>163</v>
      </c>
      <c r="C57" s="20" t="s">
        <v>164</v>
      </c>
      <c r="D57" s="20" t="s">
        <v>165</v>
      </c>
      <c r="E57" s="21" t="s">
        <v>32</v>
      </c>
      <c r="F57" s="21">
        <f>COUNTIF('Coding Book - Detail'!C:C,A57)</f>
        <v>0</v>
      </c>
    </row>
    <row r="58" spans="1:6" ht="22.5" customHeight="1" x14ac:dyDescent="0.3">
      <c r="A58" s="19" t="s">
        <v>166</v>
      </c>
      <c r="B58" s="20" t="s">
        <v>167</v>
      </c>
      <c r="C58" s="20" t="s">
        <v>168</v>
      </c>
      <c r="D58" s="20" t="s">
        <v>169</v>
      </c>
      <c r="E58" s="21" t="s">
        <v>32</v>
      </c>
      <c r="F58" s="21">
        <f>COUNTIF('Coding Book - Detail'!C:C,A58)</f>
        <v>5</v>
      </c>
    </row>
    <row r="60" spans="1:6" ht="22.5" customHeight="1" x14ac:dyDescent="0.3">
      <c r="A60" s="21" t="s">
        <v>170</v>
      </c>
      <c r="B60" s="20" t="s">
        <v>171</v>
      </c>
      <c r="C60" s="20" t="s">
        <v>172</v>
      </c>
      <c r="D60" s="23"/>
      <c r="E60" s="24"/>
      <c r="F60" s="25">
        <f>COUNTIF('Coding Book - Detail'!C:C,"n/a (gap)")</f>
        <v>19</v>
      </c>
    </row>
  </sheetData>
  <mergeCells count="6">
    <mergeCell ref="B50:F50"/>
    <mergeCell ref="B5:F5"/>
    <mergeCell ref="B13:F13"/>
    <mergeCell ref="B25:F25"/>
    <mergeCell ref="B33:F33"/>
    <mergeCell ref="B41:F4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76"/>
  <sheetViews>
    <sheetView zoomScaleNormal="100" workbookViewId="0">
      <pane ySplit="3" topLeftCell="A32" activePane="bottomLeft" state="frozen"/>
      <selection pane="bottomLeft" activeCell="E39" sqref="E39"/>
    </sheetView>
  </sheetViews>
  <sheetFormatPr defaultColWidth="8.6640625" defaultRowHeight="14.4" x14ac:dyDescent="0.3"/>
  <cols>
    <col min="1" max="1" width="5" style="6" customWidth="1"/>
    <col min="2" max="2" width="24" customWidth="1"/>
    <col min="3" max="3" width="8" style="6" customWidth="1"/>
    <col min="4" max="4" width="12" style="6" customWidth="1"/>
    <col min="5" max="5" width="66" customWidth="1"/>
    <col min="6" max="11" width="8" style="6" customWidth="1"/>
  </cols>
  <sheetData>
    <row r="1" spans="1:11" ht="14.25" customHeight="1" x14ac:dyDescent="0.3">
      <c r="A1" s="67" t="s">
        <v>535</v>
      </c>
      <c r="B1" s="67"/>
      <c r="C1" s="67"/>
      <c r="D1" s="67"/>
      <c r="E1" s="67"/>
      <c r="F1" s="67"/>
      <c r="G1" s="67"/>
      <c r="H1" s="67"/>
      <c r="I1" s="67"/>
      <c r="J1" s="67"/>
      <c r="K1" s="67"/>
    </row>
    <row r="2" spans="1:11" ht="46.5" customHeight="1" x14ac:dyDescent="0.3">
      <c r="A2" s="67"/>
      <c r="B2" s="67"/>
      <c r="C2" s="67"/>
      <c r="D2" s="67"/>
      <c r="E2" s="67"/>
      <c r="F2" s="67"/>
      <c r="G2" s="67"/>
      <c r="H2" s="67"/>
      <c r="I2" s="67"/>
      <c r="J2" s="67"/>
      <c r="K2" s="67"/>
    </row>
    <row r="3" spans="1:11" s="6" customFormat="1" x14ac:dyDescent="0.3">
      <c r="A3" s="26" t="s">
        <v>173</v>
      </c>
      <c r="B3" s="26" t="s">
        <v>174</v>
      </c>
      <c r="C3" s="26" t="s">
        <v>175</v>
      </c>
      <c r="D3" s="26" t="s">
        <v>176</v>
      </c>
      <c r="E3" s="26" t="s">
        <v>177</v>
      </c>
      <c r="F3" s="26" t="s">
        <v>17</v>
      </c>
      <c r="G3" s="26" t="s">
        <v>45</v>
      </c>
      <c r="H3" s="26" t="s">
        <v>81</v>
      </c>
      <c r="I3" s="26" t="s">
        <v>98</v>
      </c>
      <c r="J3" s="26" t="s">
        <v>115</v>
      </c>
      <c r="K3" s="26" t="s">
        <v>138</v>
      </c>
    </row>
    <row r="4" spans="1:11" ht="22.5" customHeight="1" x14ac:dyDescent="0.3">
      <c r="A4" s="21">
        <v>1</v>
      </c>
      <c r="B4" s="20" t="s">
        <v>178</v>
      </c>
      <c r="C4" s="21" t="s">
        <v>179</v>
      </c>
      <c r="D4" s="21" t="s">
        <v>180</v>
      </c>
      <c r="E4" s="20" t="s">
        <v>181</v>
      </c>
      <c r="F4" s="19" t="s">
        <v>28</v>
      </c>
      <c r="G4" s="21" t="s">
        <v>182</v>
      </c>
      <c r="H4" s="21" t="s">
        <v>182</v>
      </c>
      <c r="I4" s="21" t="s">
        <v>182</v>
      </c>
      <c r="J4" s="21" t="s">
        <v>182</v>
      </c>
      <c r="K4" s="21" t="s">
        <v>182</v>
      </c>
    </row>
    <row r="5" spans="1:11" ht="22.5" customHeight="1" x14ac:dyDescent="0.3">
      <c r="A5" s="21">
        <v>2</v>
      </c>
      <c r="B5" s="20" t="s">
        <v>183</v>
      </c>
      <c r="C5" s="21" t="s">
        <v>179</v>
      </c>
      <c r="D5" s="21" t="s">
        <v>180</v>
      </c>
      <c r="E5" s="20" t="s">
        <v>184</v>
      </c>
      <c r="F5" s="19" t="s">
        <v>36</v>
      </c>
      <c r="G5" s="21" t="s">
        <v>182</v>
      </c>
      <c r="H5" s="21" t="s">
        <v>182</v>
      </c>
      <c r="I5" s="21" t="s">
        <v>182</v>
      </c>
      <c r="J5" s="21" t="s">
        <v>182</v>
      </c>
      <c r="K5" s="21" t="s">
        <v>182</v>
      </c>
    </row>
    <row r="6" spans="1:11" ht="33.75" customHeight="1" x14ac:dyDescent="0.3">
      <c r="A6" s="21">
        <v>3</v>
      </c>
      <c r="B6" s="20" t="s">
        <v>185</v>
      </c>
      <c r="C6" s="21" t="s">
        <v>179</v>
      </c>
      <c r="D6" s="21" t="s">
        <v>186</v>
      </c>
      <c r="E6" s="20" t="s">
        <v>187</v>
      </c>
      <c r="F6" s="19" t="s">
        <v>28</v>
      </c>
      <c r="G6" s="21" t="s">
        <v>182</v>
      </c>
      <c r="H6" s="21" t="s">
        <v>182</v>
      </c>
      <c r="I6" s="21" t="s">
        <v>182</v>
      </c>
      <c r="J6" s="21" t="s">
        <v>182</v>
      </c>
      <c r="K6" s="21" t="s">
        <v>182</v>
      </c>
    </row>
    <row r="7" spans="1:11" ht="33.75" customHeight="1" x14ac:dyDescent="0.3">
      <c r="A7" s="21">
        <v>4</v>
      </c>
      <c r="B7" s="20" t="s">
        <v>188</v>
      </c>
      <c r="C7" s="21" t="s">
        <v>179</v>
      </c>
      <c r="D7" s="21" t="s">
        <v>189</v>
      </c>
      <c r="E7" s="20" t="s">
        <v>190</v>
      </c>
      <c r="F7" s="19" t="s">
        <v>36</v>
      </c>
      <c r="G7" s="21" t="s">
        <v>191</v>
      </c>
      <c r="H7" s="21" t="s">
        <v>182</v>
      </c>
      <c r="I7" s="21" t="s">
        <v>191</v>
      </c>
      <c r="J7" s="21" t="s">
        <v>182</v>
      </c>
      <c r="K7" s="21" t="s">
        <v>191</v>
      </c>
    </row>
    <row r="8" spans="1:11" ht="33.75" customHeight="1" x14ac:dyDescent="0.3">
      <c r="A8" s="21">
        <v>5</v>
      </c>
      <c r="B8" s="20" t="s">
        <v>192</v>
      </c>
      <c r="C8" s="21" t="s">
        <v>193</v>
      </c>
      <c r="D8" s="21" t="s">
        <v>194</v>
      </c>
      <c r="E8" s="20" t="s">
        <v>195</v>
      </c>
      <c r="F8" s="19" t="s">
        <v>36</v>
      </c>
      <c r="G8" s="21" t="s">
        <v>182</v>
      </c>
      <c r="H8" s="21" t="s">
        <v>182</v>
      </c>
      <c r="I8" s="21" t="s">
        <v>182</v>
      </c>
      <c r="J8" s="21" t="s">
        <v>182</v>
      </c>
      <c r="K8" s="21" t="s">
        <v>182</v>
      </c>
    </row>
    <row r="9" spans="1:11" ht="68.25" customHeight="1" x14ac:dyDescent="0.3">
      <c r="A9" s="21">
        <v>6</v>
      </c>
      <c r="B9" s="20" t="s">
        <v>196</v>
      </c>
      <c r="C9" s="21" t="s">
        <v>179</v>
      </c>
      <c r="D9" s="21" t="s">
        <v>197</v>
      </c>
      <c r="E9" s="20" t="s">
        <v>198</v>
      </c>
      <c r="F9" s="19" t="s">
        <v>36</v>
      </c>
      <c r="G9" s="21" t="s">
        <v>182</v>
      </c>
      <c r="H9" s="21" t="s">
        <v>191</v>
      </c>
      <c r="I9" s="21" t="s">
        <v>182</v>
      </c>
      <c r="J9" s="21" t="s">
        <v>182</v>
      </c>
      <c r="K9" s="19" t="s">
        <v>166</v>
      </c>
    </row>
    <row r="10" spans="1:11" ht="90.75" customHeight="1" x14ac:dyDescent="0.3">
      <c r="A10" s="21">
        <v>7</v>
      </c>
      <c r="B10" s="20" t="s">
        <v>199</v>
      </c>
      <c r="C10" s="21" t="s">
        <v>179</v>
      </c>
      <c r="D10" s="21" t="s">
        <v>200</v>
      </c>
      <c r="E10" s="20" t="s">
        <v>201</v>
      </c>
      <c r="F10" s="19" t="s">
        <v>36</v>
      </c>
      <c r="G10" s="21" t="s">
        <v>182</v>
      </c>
      <c r="H10" s="21" t="s">
        <v>182</v>
      </c>
      <c r="I10" s="21" t="s">
        <v>182</v>
      </c>
      <c r="J10" s="21" t="s">
        <v>182</v>
      </c>
      <c r="K10" s="21" t="s">
        <v>182</v>
      </c>
    </row>
    <row r="11" spans="1:11" ht="33.75" customHeight="1" x14ac:dyDescent="0.3">
      <c r="A11" s="21">
        <v>8</v>
      </c>
      <c r="B11" s="20" t="s">
        <v>202</v>
      </c>
      <c r="C11" s="21" t="s">
        <v>179</v>
      </c>
      <c r="D11" s="21" t="s">
        <v>180</v>
      </c>
      <c r="E11" s="20" t="s">
        <v>203</v>
      </c>
      <c r="F11" s="19" t="s">
        <v>28</v>
      </c>
      <c r="G11" s="21" t="s">
        <v>182</v>
      </c>
      <c r="H11" s="21" t="s">
        <v>182</v>
      </c>
      <c r="I11" s="21" t="s">
        <v>182</v>
      </c>
      <c r="J11" s="21" t="s">
        <v>182</v>
      </c>
      <c r="K11" s="21" t="s">
        <v>182</v>
      </c>
    </row>
    <row r="12" spans="1:11" ht="33.75" customHeight="1" x14ac:dyDescent="0.3">
      <c r="A12" s="21">
        <v>9</v>
      </c>
      <c r="B12" s="20" t="s">
        <v>204</v>
      </c>
      <c r="C12" s="21" t="s">
        <v>193</v>
      </c>
      <c r="D12" s="21" t="s">
        <v>205</v>
      </c>
      <c r="E12" s="20" t="s">
        <v>206</v>
      </c>
      <c r="F12" s="19" t="s">
        <v>28</v>
      </c>
      <c r="G12" s="21" t="s">
        <v>182</v>
      </c>
      <c r="H12" s="21" t="s">
        <v>182</v>
      </c>
      <c r="I12" s="21" t="s">
        <v>182</v>
      </c>
      <c r="J12" s="21" t="s">
        <v>182</v>
      </c>
      <c r="K12" s="21" t="s">
        <v>182</v>
      </c>
    </row>
    <row r="13" spans="1:11" ht="57" customHeight="1" x14ac:dyDescent="0.3">
      <c r="A13" s="21">
        <v>10</v>
      </c>
      <c r="B13" s="20" t="s">
        <v>207</v>
      </c>
      <c r="C13" s="21" t="s">
        <v>208</v>
      </c>
      <c r="D13" s="21">
        <v>2</v>
      </c>
      <c r="E13" s="20" t="s">
        <v>209</v>
      </c>
      <c r="F13" s="19" t="s">
        <v>41</v>
      </c>
      <c r="G13" s="21" t="s">
        <v>182</v>
      </c>
      <c r="H13" s="21" t="s">
        <v>182</v>
      </c>
      <c r="I13" s="21" t="s">
        <v>182</v>
      </c>
      <c r="J13" s="21" t="s">
        <v>182</v>
      </c>
      <c r="K13" s="21" t="s">
        <v>182</v>
      </c>
    </row>
    <row r="14" spans="1:11" ht="79.5" customHeight="1" x14ac:dyDescent="0.3">
      <c r="A14" s="21">
        <v>11</v>
      </c>
      <c r="B14" s="20" t="s">
        <v>210</v>
      </c>
      <c r="C14" s="21" t="s">
        <v>193</v>
      </c>
      <c r="D14" s="21" t="s">
        <v>211</v>
      </c>
      <c r="E14" s="20" t="s">
        <v>212</v>
      </c>
      <c r="F14" s="19" t="s">
        <v>28</v>
      </c>
      <c r="G14" s="21" t="s">
        <v>182</v>
      </c>
      <c r="H14" s="21" t="s">
        <v>182</v>
      </c>
      <c r="I14" s="21" t="s">
        <v>182</v>
      </c>
      <c r="J14" s="21" t="s">
        <v>182</v>
      </c>
      <c r="K14" s="21" t="s">
        <v>182</v>
      </c>
    </row>
    <row r="15" spans="1:11" ht="33.75" customHeight="1" x14ac:dyDescent="0.3">
      <c r="A15" s="21">
        <v>12</v>
      </c>
      <c r="B15" s="20" t="s">
        <v>213</v>
      </c>
      <c r="C15" s="21" t="s">
        <v>193</v>
      </c>
      <c r="D15" s="21" t="s">
        <v>214</v>
      </c>
      <c r="E15" s="20" t="s">
        <v>215</v>
      </c>
      <c r="F15" s="19" t="s">
        <v>28</v>
      </c>
      <c r="G15" s="21" t="s">
        <v>182</v>
      </c>
      <c r="H15" s="21" t="s">
        <v>182</v>
      </c>
      <c r="I15" s="21" t="s">
        <v>182</v>
      </c>
      <c r="J15" s="21" t="s">
        <v>182</v>
      </c>
      <c r="K15" s="21" t="s">
        <v>182</v>
      </c>
    </row>
    <row r="16" spans="1:11" ht="33.75" customHeight="1" x14ac:dyDescent="0.3">
      <c r="A16" s="21">
        <v>13</v>
      </c>
      <c r="B16" s="20" t="s">
        <v>216</v>
      </c>
      <c r="C16" s="21" t="s">
        <v>179</v>
      </c>
      <c r="D16" s="21" t="s">
        <v>217</v>
      </c>
      <c r="E16" s="20" t="s">
        <v>218</v>
      </c>
      <c r="F16" s="19" t="s">
        <v>28</v>
      </c>
      <c r="G16" s="21" t="s">
        <v>182</v>
      </c>
      <c r="H16" s="21" t="s">
        <v>191</v>
      </c>
      <c r="I16" s="21" t="s">
        <v>182</v>
      </c>
      <c r="J16" s="21" t="s">
        <v>182</v>
      </c>
      <c r="K16" s="21" t="s">
        <v>182</v>
      </c>
    </row>
    <row r="17" spans="1:11" ht="33.75" customHeight="1" x14ac:dyDescent="0.3">
      <c r="A17" s="21">
        <v>14</v>
      </c>
      <c r="B17" s="20" t="s">
        <v>219</v>
      </c>
      <c r="C17" s="21" t="s">
        <v>208</v>
      </c>
      <c r="D17" s="21" t="s">
        <v>220</v>
      </c>
      <c r="E17" s="20" t="s">
        <v>221</v>
      </c>
      <c r="F17" s="19" t="s">
        <v>41</v>
      </c>
      <c r="G17" s="21" t="s">
        <v>182</v>
      </c>
      <c r="H17" s="21" t="s">
        <v>182</v>
      </c>
      <c r="I17" s="21" t="s">
        <v>182</v>
      </c>
      <c r="J17" s="21" t="s">
        <v>182</v>
      </c>
      <c r="K17" s="21" t="s">
        <v>182</v>
      </c>
    </row>
    <row r="18" spans="1:11" ht="57" customHeight="1" x14ac:dyDescent="0.3">
      <c r="A18" s="21">
        <v>15</v>
      </c>
      <c r="B18" s="20" t="s">
        <v>178</v>
      </c>
      <c r="C18" s="21" t="s">
        <v>179</v>
      </c>
      <c r="D18" s="21" t="s">
        <v>222</v>
      </c>
      <c r="E18" s="20" t="s">
        <v>223</v>
      </c>
      <c r="F18" s="21" t="s">
        <v>182</v>
      </c>
      <c r="G18" s="19" t="s">
        <v>73</v>
      </c>
      <c r="H18" s="21" t="s">
        <v>182</v>
      </c>
      <c r="I18" s="21" t="s">
        <v>182</v>
      </c>
      <c r="J18" s="21" t="s">
        <v>182</v>
      </c>
      <c r="K18" s="21" t="s">
        <v>182</v>
      </c>
    </row>
    <row r="19" spans="1:11" ht="68.25" customHeight="1" x14ac:dyDescent="0.3">
      <c r="A19" s="21">
        <v>16</v>
      </c>
      <c r="B19" s="20" t="s">
        <v>183</v>
      </c>
      <c r="C19" s="21" t="s">
        <v>179</v>
      </c>
      <c r="D19" s="21" t="s">
        <v>180</v>
      </c>
      <c r="E19" s="20" t="s">
        <v>224</v>
      </c>
      <c r="F19" s="21" t="s">
        <v>182</v>
      </c>
      <c r="G19" s="19" t="s">
        <v>73</v>
      </c>
      <c r="H19" s="21" t="s">
        <v>182</v>
      </c>
      <c r="I19" s="21" t="s">
        <v>182</v>
      </c>
      <c r="J19" s="21" t="s">
        <v>182</v>
      </c>
      <c r="K19" s="21" t="s">
        <v>182</v>
      </c>
    </row>
    <row r="20" spans="1:11" ht="57" customHeight="1" x14ac:dyDescent="0.3">
      <c r="A20" s="21">
        <v>17</v>
      </c>
      <c r="B20" s="20" t="s">
        <v>185</v>
      </c>
      <c r="C20" s="21" t="s">
        <v>179</v>
      </c>
      <c r="D20" s="21" t="s">
        <v>225</v>
      </c>
      <c r="E20" s="20" t="s">
        <v>226</v>
      </c>
      <c r="F20" s="21" t="s">
        <v>182</v>
      </c>
      <c r="G20" s="19" t="s">
        <v>73</v>
      </c>
      <c r="H20" s="21" t="s">
        <v>182</v>
      </c>
      <c r="I20" s="21" t="s">
        <v>182</v>
      </c>
      <c r="J20" s="21" t="s">
        <v>182</v>
      </c>
      <c r="K20" s="21" t="s">
        <v>182</v>
      </c>
    </row>
    <row r="21" spans="1:11" ht="22.5" customHeight="1" x14ac:dyDescent="0.3">
      <c r="A21" s="21">
        <v>18</v>
      </c>
      <c r="B21" s="20" t="s">
        <v>192</v>
      </c>
      <c r="C21" s="21" t="s">
        <v>193</v>
      </c>
      <c r="D21" s="21" t="s">
        <v>222</v>
      </c>
      <c r="E21" s="20" t="s">
        <v>227</v>
      </c>
      <c r="F21" s="21" t="s">
        <v>182</v>
      </c>
      <c r="G21" s="19" t="s">
        <v>73</v>
      </c>
      <c r="H21" s="21" t="s">
        <v>182</v>
      </c>
      <c r="I21" s="21" t="s">
        <v>182</v>
      </c>
      <c r="J21" s="21" t="s">
        <v>182</v>
      </c>
      <c r="K21" s="21" t="s">
        <v>182</v>
      </c>
    </row>
    <row r="22" spans="1:11" ht="45" customHeight="1" x14ac:dyDescent="0.3">
      <c r="A22" s="21">
        <v>19</v>
      </c>
      <c r="B22" s="20" t="s">
        <v>196</v>
      </c>
      <c r="C22" s="21" t="s">
        <v>179</v>
      </c>
      <c r="D22" s="21" t="s">
        <v>197</v>
      </c>
      <c r="E22" s="20" t="s">
        <v>228</v>
      </c>
      <c r="F22" s="21" t="s">
        <v>182</v>
      </c>
      <c r="G22" s="19" t="s">
        <v>77</v>
      </c>
      <c r="H22" s="21" t="s">
        <v>182</v>
      </c>
      <c r="I22" s="21" t="s">
        <v>182</v>
      </c>
      <c r="J22" s="21" t="s">
        <v>182</v>
      </c>
      <c r="K22" s="21" t="s">
        <v>182</v>
      </c>
    </row>
    <row r="23" spans="1:11" ht="33.75" customHeight="1" x14ac:dyDescent="0.3">
      <c r="A23" s="21">
        <v>20</v>
      </c>
      <c r="B23" s="20" t="s">
        <v>199</v>
      </c>
      <c r="C23" s="21" t="s">
        <v>179</v>
      </c>
      <c r="D23" s="21" t="s">
        <v>200</v>
      </c>
      <c r="E23" s="20" t="s">
        <v>229</v>
      </c>
      <c r="F23" s="21" t="s">
        <v>182</v>
      </c>
      <c r="G23" s="19" t="s">
        <v>77</v>
      </c>
      <c r="H23" s="21" t="s">
        <v>182</v>
      </c>
      <c r="I23" s="19" t="s">
        <v>112</v>
      </c>
      <c r="J23" s="21" t="s">
        <v>182</v>
      </c>
      <c r="K23" s="21" t="s">
        <v>182</v>
      </c>
    </row>
    <row r="24" spans="1:11" ht="45" customHeight="1" x14ac:dyDescent="0.3">
      <c r="A24" s="21">
        <v>21</v>
      </c>
      <c r="B24" s="20" t="s">
        <v>202</v>
      </c>
      <c r="C24" s="21" t="s">
        <v>179</v>
      </c>
      <c r="D24" s="21" t="s">
        <v>230</v>
      </c>
      <c r="E24" s="20" t="s">
        <v>231</v>
      </c>
      <c r="F24" s="21" t="s">
        <v>182</v>
      </c>
      <c r="G24" s="19" t="s">
        <v>73</v>
      </c>
      <c r="H24" s="21" t="s">
        <v>182</v>
      </c>
      <c r="I24" s="21" t="s">
        <v>182</v>
      </c>
      <c r="J24" s="21" t="s">
        <v>182</v>
      </c>
      <c r="K24" s="21" t="s">
        <v>182</v>
      </c>
    </row>
    <row r="25" spans="1:11" ht="33.75" customHeight="1" x14ac:dyDescent="0.3">
      <c r="A25" s="21">
        <v>22</v>
      </c>
      <c r="B25" s="20" t="s">
        <v>204</v>
      </c>
      <c r="C25" s="21" t="s">
        <v>193</v>
      </c>
      <c r="D25" s="21" t="s">
        <v>232</v>
      </c>
      <c r="E25" s="20" t="s">
        <v>233</v>
      </c>
      <c r="F25" s="21" t="s">
        <v>182</v>
      </c>
      <c r="G25" s="19" t="s">
        <v>73</v>
      </c>
      <c r="H25" s="21" t="s">
        <v>182</v>
      </c>
      <c r="I25" s="21" t="s">
        <v>182</v>
      </c>
      <c r="J25" s="21" t="s">
        <v>182</v>
      </c>
      <c r="K25" s="21" t="s">
        <v>182</v>
      </c>
    </row>
    <row r="26" spans="1:11" ht="57" customHeight="1" x14ac:dyDescent="0.3">
      <c r="A26" s="21">
        <v>23</v>
      </c>
      <c r="B26" s="20" t="s">
        <v>207</v>
      </c>
      <c r="C26" s="21" t="s">
        <v>208</v>
      </c>
      <c r="D26" s="21">
        <v>2</v>
      </c>
      <c r="E26" s="20" t="s">
        <v>234</v>
      </c>
      <c r="F26" s="21" t="s">
        <v>182</v>
      </c>
      <c r="G26" s="21" t="s">
        <v>191</v>
      </c>
      <c r="H26" s="21" t="s">
        <v>191</v>
      </c>
      <c r="I26" s="21" t="s">
        <v>191</v>
      </c>
      <c r="J26" s="21" t="s">
        <v>182</v>
      </c>
      <c r="K26" s="21" t="s">
        <v>182</v>
      </c>
    </row>
    <row r="27" spans="1:11" ht="45" customHeight="1" x14ac:dyDescent="0.3">
      <c r="A27" s="21">
        <v>24</v>
      </c>
      <c r="B27" s="20" t="s">
        <v>210</v>
      </c>
      <c r="C27" s="21" t="s">
        <v>193</v>
      </c>
      <c r="D27" s="21" t="s">
        <v>235</v>
      </c>
      <c r="E27" s="20" t="s">
        <v>236</v>
      </c>
      <c r="F27" s="21" t="s">
        <v>182</v>
      </c>
      <c r="G27" s="19" t="s">
        <v>73</v>
      </c>
      <c r="H27" s="21" t="s">
        <v>182</v>
      </c>
      <c r="I27" s="21" t="s">
        <v>182</v>
      </c>
      <c r="J27" s="21" t="s">
        <v>182</v>
      </c>
      <c r="K27" s="21" t="s">
        <v>182</v>
      </c>
    </row>
    <row r="28" spans="1:11" ht="33.75" customHeight="1" x14ac:dyDescent="0.3">
      <c r="A28" s="21">
        <v>25</v>
      </c>
      <c r="B28" s="20" t="s">
        <v>213</v>
      </c>
      <c r="C28" s="21" t="s">
        <v>193</v>
      </c>
      <c r="D28" s="21" t="s">
        <v>237</v>
      </c>
      <c r="E28" s="20" t="s">
        <v>238</v>
      </c>
      <c r="F28" s="21" t="s">
        <v>182</v>
      </c>
      <c r="G28" s="19" t="s">
        <v>61</v>
      </c>
      <c r="H28" s="21" t="s">
        <v>182</v>
      </c>
      <c r="I28" s="21" t="s">
        <v>182</v>
      </c>
      <c r="J28" s="21" t="s">
        <v>182</v>
      </c>
      <c r="K28" s="21" t="s">
        <v>182</v>
      </c>
    </row>
    <row r="29" spans="1:11" ht="45" customHeight="1" x14ac:dyDescent="0.3">
      <c r="A29" s="21">
        <v>26</v>
      </c>
      <c r="B29" s="20" t="s">
        <v>216</v>
      </c>
      <c r="C29" s="21" t="s">
        <v>179</v>
      </c>
      <c r="D29" s="21" t="s">
        <v>239</v>
      </c>
      <c r="E29" s="20" t="s">
        <v>240</v>
      </c>
      <c r="F29" s="21" t="s">
        <v>182</v>
      </c>
      <c r="G29" s="19" t="s">
        <v>77</v>
      </c>
      <c r="H29" s="21" t="s">
        <v>182</v>
      </c>
      <c r="I29" s="21" t="s">
        <v>182</v>
      </c>
      <c r="J29" s="21" t="s">
        <v>182</v>
      </c>
      <c r="K29" s="21" t="s">
        <v>182</v>
      </c>
    </row>
    <row r="30" spans="1:11" ht="33.75" customHeight="1" x14ac:dyDescent="0.3">
      <c r="A30" s="21">
        <v>27</v>
      </c>
      <c r="B30" s="20" t="s">
        <v>219</v>
      </c>
      <c r="C30" s="21" t="s">
        <v>208</v>
      </c>
      <c r="D30" s="21" t="s">
        <v>241</v>
      </c>
      <c r="E30" s="20" t="s">
        <v>242</v>
      </c>
      <c r="F30" s="21" t="s">
        <v>182</v>
      </c>
      <c r="G30" s="19" t="s">
        <v>77</v>
      </c>
      <c r="H30" s="21" t="s">
        <v>182</v>
      </c>
      <c r="I30" s="21" t="s">
        <v>182</v>
      </c>
      <c r="J30" s="21" t="s">
        <v>182</v>
      </c>
      <c r="K30" s="21" t="s">
        <v>182</v>
      </c>
    </row>
    <row r="31" spans="1:11" ht="22.5" customHeight="1" x14ac:dyDescent="0.3">
      <c r="A31" s="21">
        <v>28</v>
      </c>
      <c r="B31" s="20" t="s">
        <v>178</v>
      </c>
      <c r="C31" s="21" t="s">
        <v>179</v>
      </c>
      <c r="D31" s="21" t="s">
        <v>180</v>
      </c>
      <c r="E31" s="20" t="s">
        <v>243</v>
      </c>
      <c r="F31" s="21" t="s">
        <v>182</v>
      </c>
      <c r="G31" s="21" t="s">
        <v>182</v>
      </c>
      <c r="H31" s="19" t="s">
        <v>95</v>
      </c>
      <c r="I31" s="21" t="s">
        <v>182</v>
      </c>
      <c r="J31" s="21" t="s">
        <v>182</v>
      </c>
      <c r="K31" s="21" t="s">
        <v>182</v>
      </c>
    </row>
    <row r="32" spans="1:11" ht="33.75" customHeight="1" x14ac:dyDescent="0.3">
      <c r="A32" s="21">
        <v>29</v>
      </c>
      <c r="B32" s="20" t="s">
        <v>183</v>
      </c>
      <c r="C32" s="21" t="s">
        <v>179</v>
      </c>
      <c r="D32" s="21" t="s">
        <v>244</v>
      </c>
      <c r="E32" s="62" t="s">
        <v>540</v>
      </c>
      <c r="F32" s="21" t="s">
        <v>182</v>
      </c>
      <c r="G32" s="21" t="s">
        <v>182</v>
      </c>
      <c r="H32" s="19" t="s">
        <v>95</v>
      </c>
      <c r="I32" s="21" t="s">
        <v>182</v>
      </c>
      <c r="J32" s="21" t="s">
        <v>182</v>
      </c>
      <c r="K32" s="19" t="s">
        <v>166</v>
      </c>
    </row>
    <row r="33" spans="1:11" ht="33.75" customHeight="1" x14ac:dyDescent="0.3">
      <c r="A33" s="21">
        <v>30</v>
      </c>
      <c r="B33" s="20" t="s">
        <v>185</v>
      </c>
      <c r="C33" s="21" t="s">
        <v>179</v>
      </c>
      <c r="D33" s="21" t="s">
        <v>225</v>
      </c>
      <c r="E33" s="20" t="s">
        <v>246</v>
      </c>
      <c r="F33" s="21" t="s">
        <v>182</v>
      </c>
      <c r="G33" s="21" t="s">
        <v>182</v>
      </c>
      <c r="H33" s="19" t="s">
        <v>95</v>
      </c>
      <c r="I33" s="21" t="s">
        <v>182</v>
      </c>
      <c r="J33" s="21" t="s">
        <v>182</v>
      </c>
      <c r="K33" s="21" t="s">
        <v>182</v>
      </c>
    </row>
    <row r="34" spans="1:11" ht="33.75" customHeight="1" x14ac:dyDescent="0.3">
      <c r="A34" s="21">
        <v>31</v>
      </c>
      <c r="B34" s="20" t="s">
        <v>188</v>
      </c>
      <c r="C34" s="21" t="s">
        <v>179</v>
      </c>
      <c r="D34" s="21" t="s">
        <v>247</v>
      </c>
      <c r="E34" s="20" t="s">
        <v>248</v>
      </c>
      <c r="F34" s="21" t="s">
        <v>182</v>
      </c>
      <c r="G34" s="21" t="s">
        <v>182</v>
      </c>
      <c r="H34" s="19" t="s">
        <v>85</v>
      </c>
      <c r="I34" s="21" t="s">
        <v>182</v>
      </c>
      <c r="J34" s="21" t="s">
        <v>182</v>
      </c>
      <c r="K34" s="21" t="s">
        <v>182</v>
      </c>
    </row>
    <row r="35" spans="1:11" ht="22.5" customHeight="1" x14ac:dyDescent="0.3">
      <c r="A35" s="21">
        <v>32</v>
      </c>
      <c r="B35" s="20" t="s">
        <v>192</v>
      </c>
      <c r="C35" s="21" t="s">
        <v>193</v>
      </c>
      <c r="D35" s="21" t="s">
        <v>222</v>
      </c>
      <c r="E35" s="20" t="s">
        <v>249</v>
      </c>
      <c r="F35" s="21" t="s">
        <v>182</v>
      </c>
      <c r="G35" s="21" t="s">
        <v>182</v>
      </c>
      <c r="H35" s="19" t="s">
        <v>95</v>
      </c>
      <c r="I35" s="21" t="s">
        <v>182</v>
      </c>
      <c r="J35" s="21" t="s">
        <v>182</v>
      </c>
      <c r="K35" s="21" t="s">
        <v>182</v>
      </c>
    </row>
    <row r="36" spans="1:11" ht="33.75" customHeight="1" x14ac:dyDescent="0.3">
      <c r="A36" s="21">
        <v>33</v>
      </c>
      <c r="B36" s="20" t="s">
        <v>199</v>
      </c>
      <c r="C36" s="21" t="s">
        <v>179</v>
      </c>
      <c r="D36" s="21" t="s">
        <v>200</v>
      </c>
      <c r="E36" s="62" t="s">
        <v>250</v>
      </c>
      <c r="F36" s="21" t="s">
        <v>182</v>
      </c>
      <c r="G36" s="21" t="s">
        <v>182</v>
      </c>
      <c r="H36" s="19" t="s">
        <v>95</v>
      </c>
      <c r="I36" s="21" t="s">
        <v>182</v>
      </c>
      <c r="J36" s="21" t="s">
        <v>182</v>
      </c>
      <c r="K36" s="21" t="s">
        <v>182</v>
      </c>
    </row>
    <row r="37" spans="1:11" ht="33.75" customHeight="1" x14ac:dyDescent="0.3">
      <c r="A37" s="21">
        <v>34</v>
      </c>
      <c r="B37" s="20" t="s">
        <v>202</v>
      </c>
      <c r="C37" s="21" t="s">
        <v>179</v>
      </c>
      <c r="D37" s="21" t="s">
        <v>251</v>
      </c>
      <c r="E37" s="20" t="s">
        <v>252</v>
      </c>
      <c r="F37" s="21" t="s">
        <v>182</v>
      </c>
      <c r="G37" s="21" t="s">
        <v>182</v>
      </c>
      <c r="H37" s="19" t="s">
        <v>95</v>
      </c>
      <c r="I37" s="21" t="s">
        <v>182</v>
      </c>
      <c r="J37" s="21" t="s">
        <v>182</v>
      </c>
      <c r="K37" s="21" t="s">
        <v>182</v>
      </c>
    </row>
    <row r="38" spans="1:11" ht="22.5" customHeight="1" x14ac:dyDescent="0.3">
      <c r="A38" s="21">
        <v>35</v>
      </c>
      <c r="B38" s="20" t="s">
        <v>204</v>
      </c>
      <c r="C38" s="21" t="s">
        <v>193</v>
      </c>
      <c r="D38" s="21" t="s">
        <v>205</v>
      </c>
      <c r="E38" s="20" t="s">
        <v>253</v>
      </c>
      <c r="F38" s="21" t="s">
        <v>182</v>
      </c>
      <c r="G38" s="21" t="s">
        <v>182</v>
      </c>
      <c r="H38" s="19" t="s">
        <v>85</v>
      </c>
      <c r="I38" s="21" t="s">
        <v>182</v>
      </c>
      <c r="J38" s="21" t="s">
        <v>182</v>
      </c>
      <c r="K38" s="21" t="s">
        <v>182</v>
      </c>
    </row>
    <row r="39" spans="1:11" ht="33.75" customHeight="1" x14ac:dyDescent="0.3">
      <c r="A39" s="21">
        <v>36</v>
      </c>
      <c r="B39" s="20" t="s">
        <v>210</v>
      </c>
      <c r="C39" s="21" t="s">
        <v>193</v>
      </c>
      <c r="D39" s="21" t="s">
        <v>254</v>
      </c>
      <c r="E39" s="20" t="s">
        <v>255</v>
      </c>
      <c r="F39" s="21" t="s">
        <v>182</v>
      </c>
      <c r="G39" s="21" t="s">
        <v>182</v>
      </c>
      <c r="H39" s="19" t="s">
        <v>95</v>
      </c>
      <c r="I39" s="21" t="s">
        <v>182</v>
      </c>
      <c r="J39" s="21" t="s">
        <v>182</v>
      </c>
      <c r="K39" s="21" t="s">
        <v>182</v>
      </c>
    </row>
    <row r="40" spans="1:11" ht="45" customHeight="1" x14ac:dyDescent="0.3">
      <c r="A40" s="21">
        <v>37</v>
      </c>
      <c r="B40" s="20" t="s">
        <v>213</v>
      </c>
      <c r="C40" s="21" t="s">
        <v>193</v>
      </c>
      <c r="D40" s="21" t="s">
        <v>256</v>
      </c>
      <c r="E40" s="20" t="s">
        <v>257</v>
      </c>
      <c r="F40" s="21" t="s">
        <v>182</v>
      </c>
      <c r="G40" s="21" t="s">
        <v>182</v>
      </c>
      <c r="H40" s="19" t="s">
        <v>85</v>
      </c>
      <c r="I40" s="21" t="s">
        <v>182</v>
      </c>
      <c r="J40" s="21" t="s">
        <v>182</v>
      </c>
      <c r="K40" s="21" t="s">
        <v>182</v>
      </c>
    </row>
    <row r="41" spans="1:11" ht="33.75" customHeight="1" x14ac:dyDescent="0.3">
      <c r="A41" s="21">
        <v>38</v>
      </c>
      <c r="B41" s="20" t="s">
        <v>219</v>
      </c>
      <c r="C41" s="21" t="s">
        <v>208</v>
      </c>
      <c r="D41" s="21" t="s">
        <v>241</v>
      </c>
      <c r="E41" s="20" t="s">
        <v>258</v>
      </c>
      <c r="F41" s="21" t="s">
        <v>182</v>
      </c>
      <c r="G41" s="21" t="s">
        <v>182</v>
      </c>
      <c r="H41" s="19" t="s">
        <v>85</v>
      </c>
      <c r="I41" s="21" t="s">
        <v>182</v>
      </c>
      <c r="J41" s="21" t="s">
        <v>182</v>
      </c>
      <c r="K41" s="21" t="s">
        <v>182</v>
      </c>
    </row>
    <row r="42" spans="1:11" ht="102" customHeight="1" x14ac:dyDescent="0.3">
      <c r="A42" s="21">
        <v>39</v>
      </c>
      <c r="B42" s="20" t="s">
        <v>178</v>
      </c>
      <c r="C42" s="21" t="s">
        <v>179</v>
      </c>
      <c r="D42" s="21" t="s">
        <v>180</v>
      </c>
      <c r="E42" s="20" t="s">
        <v>259</v>
      </c>
      <c r="F42" s="21" t="s">
        <v>182</v>
      </c>
      <c r="G42" s="21" t="s">
        <v>182</v>
      </c>
      <c r="H42" s="21" t="s">
        <v>182</v>
      </c>
      <c r="I42" s="21" t="s">
        <v>191</v>
      </c>
      <c r="J42" s="21" t="s">
        <v>182</v>
      </c>
      <c r="K42" s="21" t="s">
        <v>182</v>
      </c>
    </row>
    <row r="43" spans="1:11" ht="57" customHeight="1" x14ac:dyDescent="0.3">
      <c r="A43" s="21">
        <v>40</v>
      </c>
      <c r="B43" s="20" t="s">
        <v>183</v>
      </c>
      <c r="C43" s="21" t="s">
        <v>179</v>
      </c>
      <c r="D43" s="21" t="s">
        <v>244</v>
      </c>
      <c r="E43" s="20" t="s">
        <v>260</v>
      </c>
      <c r="F43" s="21" t="s">
        <v>182</v>
      </c>
      <c r="G43" s="21" t="s">
        <v>182</v>
      </c>
      <c r="H43" s="21" t="s">
        <v>182</v>
      </c>
      <c r="I43" s="19" t="s">
        <v>112</v>
      </c>
      <c r="J43" s="21" t="s">
        <v>182</v>
      </c>
      <c r="K43" s="21" t="s">
        <v>182</v>
      </c>
    </row>
    <row r="44" spans="1:11" ht="33.75" customHeight="1" x14ac:dyDescent="0.3">
      <c r="A44" s="21">
        <v>41</v>
      </c>
      <c r="B44" s="20" t="s">
        <v>185</v>
      </c>
      <c r="C44" s="21" t="s">
        <v>179</v>
      </c>
      <c r="D44" s="21" t="s">
        <v>225</v>
      </c>
      <c r="E44" s="20" t="s">
        <v>261</v>
      </c>
      <c r="F44" s="21" t="s">
        <v>182</v>
      </c>
      <c r="G44" s="21" t="s">
        <v>182</v>
      </c>
      <c r="H44" s="21" t="s">
        <v>182</v>
      </c>
      <c r="I44" s="21" t="s">
        <v>191</v>
      </c>
      <c r="J44" s="21" t="s">
        <v>182</v>
      </c>
      <c r="K44" s="21" t="s">
        <v>182</v>
      </c>
    </row>
    <row r="45" spans="1:11" ht="45" customHeight="1" x14ac:dyDescent="0.3">
      <c r="A45" s="21">
        <v>42</v>
      </c>
      <c r="B45" s="20" t="s">
        <v>192</v>
      </c>
      <c r="C45" s="21" t="s">
        <v>193</v>
      </c>
      <c r="D45" s="21" t="s">
        <v>262</v>
      </c>
      <c r="E45" s="20" t="s">
        <v>263</v>
      </c>
      <c r="F45" s="21" t="s">
        <v>182</v>
      </c>
      <c r="G45" s="21" t="s">
        <v>182</v>
      </c>
      <c r="H45" s="21" t="s">
        <v>182</v>
      </c>
      <c r="I45" s="19" t="s">
        <v>109</v>
      </c>
      <c r="J45" s="21" t="s">
        <v>182</v>
      </c>
      <c r="K45" s="21" t="s">
        <v>182</v>
      </c>
    </row>
    <row r="46" spans="1:11" ht="68.25" customHeight="1" x14ac:dyDescent="0.3">
      <c r="A46" s="21">
        <v>43</v>
      </c>
      <c r="B46" s="20" t="s">
        <v>196</v>
      </c>
      <c r="C46" s="21" t="s">
        <v>179</v>
      </c>
      <c r="D46" s="21" t="s">
        <v>264</v>
      </c>
      <c r="E46" s="20" t="s">
        <v>265</v>
      </c>
      <c r="F46" s="21" t="s">
        <v>182</v>
      </c>
      <c r="G46" s="21" t="s">
        <v>182</v>
      </c>
      <c r="H46" s="21" t="s">
        <v>182</v>
      </c>
      <c r="I46" s="21" t="s">
        <v>191</v>
      </c>
      <c r="J46" s="21" t="s">
        <v>191</v>
      </c>
      <c r="K46" s="21" t="s">
        <v>182</v>
      </c>
    </row>
    <row r="47" spans="1:11" ht="33.75" customHeight="1" x14ac:dyDescent="0.3">
      <c r="A47" s="21">
        <v>44</v>
      </c>
      <c r="B47" s="20" t="s">
        <v>202</v>
      </c>
      <c r="C47" s="21" t="s">
        <v>179</v>
      </c>
      <c r="D47" s="21" t="s">
        <v>230</v>
      </c>
      <c r="E47" s="20" t="s">
        <v>266</v>
      </c>
      <c r="F47" s="21" t="s">
        <v>182</v>
      </c>
      <c r="G47" s="21" t="s">
        <v>182</v>
      </c>
      <c r="H47" s="21" t="s">
        <v>182</v>
      </c>
      <c r="I47" s="19" t="s">
        <v>109</v>
      </c>
      <c r="J47" s="21" t="s">
        <v>182</v>
      </c>
      <c r="K47" s="21" t="s">
        <v>182</v>
      </c>
    </row>
    <row r="48" spans="1:11" ht="33.75" customHeight="1" x14ac:dyDescent="0.3">
      <c r="A48" s="21">
        <v>45</v>
      </c>
      <c r="B48" s="20" t="s">
        <v>204</v>
      </c>
      <c r="C48" s="21" t="s">
        <v>193</v>
      </c>
      <c r="D48" s="21" t="s">
        <v>205</v>
      </c>
      <c r="E48" s="20" t="s">
        <v>267</v>
      </c>
      <c r="F48" s="21" t="s">
        <v>182</v>
      </c>
      <c r="G48" s="21" t="s">
        <v>182</v>
      </c>
      <c r="H48" s="21" t="s">
        <v>182</v>
      </c>
      <c r="I48" s="19" t="s">
        <v>109</v>
      </c>
      <c r="J48" s="21" t="s">
        <v>182</v>
      </c>
      <c r="K48" s="21" t="s">
        <v>182</v>
      </c>
    </row>
    <row r="49" spans="1:11" ht="45" customHeight="1" x14ac:dyDescent="0.3">
      <c r="A49" s="21">
        <v>46</v>
      </c>
      <c r="B49" s="20" t="s">
        <v>210</v>
      </c>
      <c r="C49" s="21" t="s">
        <v>193</v>
      </c>
      <c r="D49" s="21" t="s">
        <v>254</v>
      </c>
      <c r="E49" s="20" t="s">
        <v>268</v>
      </c>
      <c r="F49" s="21" t="s">
        <v>182</v>
      </c>
      <c r="G49" s="21" t="s">
        <v>182</v>
      </c>
      <c r="H49" s="21" t="s">
        <v>182</v>
      </c>
      <c r="I49" s="19" t="s">
        <v>109</v>
      </c>
      <c r="J49" s="21" t="s">
        <v>182</v>
      </c>
      <c r="K49" s="21" t="s">
        <v>182</v>
      </c>
    </row>
    <row r="50" spans="1:11" ht="57" customHeight="1" x14ac:dyDescent="0.3">
      <c r="A50" s="21">
        <v>47</v>
      </c>
      <c r="B50" s="20" t="s">
        <v>213</v>
      </c>
      <c r="C50" s="21" t="s">
        <v>193</v>
      </c>
      <c r="D50" s="21" t="s">
        <v>180</v>
      </c>
      <c r="E50" s="20" t="s">
        <v>269</v>
      </c>
      <c r="F50" s="21" t="s">
        <v>182</v>
      </c>
      <c r="G50" s="21" t="s">
        <v>182</v>
      </c>
      <c r="H50" s="21" t="s">
        <v>182</v>
      </c>
      <c r="I50" s="21" t="s">
        <v>191</v>
      </c>
      <c r="J50" s="21" t="s">
        <v>182</v>
      </c>
      <c r="K50" s="21" t="s">
        <v>182</v>
      </c>
    </row>
    <row r="51" spans="1:11" ht="68.25" customHeight="1" x14ac:dyDescent="0.3">
      <c r="A51" s="21">
        <v>48</v>
      </c>
      <c r="B51" s="20" t="s">
        <v>216</v>
      </c>
      <c r="C51" s="21" t="s">
        <v>179</v>
      </c>
      <c r="D51" s="21" t="s">
        <v>217</v>
      </c>
      <c r="E51" s="20" t="s">
        <v>270</v>
      </c>
      <c r="F51" s="21" t="s">
        <v>182</v>
      </c>
      <c r="G51" s="21" t="s">
        <v>182</v>
      </c>
      <c r="H51" s="21" t="s">
        <v>182</v>
      </c>
      <c r="I51" s="21" t="s">
        <v>191</v>
      </c>
      <c r="J51" s="21" t="s">
        <v>191</v>
      </c>
      <c r="K51" s="19" t="s">
        <v>166</v>
      </c>
    </row>
    <row r="52" spans="1:11" ht="45" customHeight="1" x14ac:dyDescent="0.3">
      <c r="A52" s="21">
        <v>49</v>
      </c>
      <c r="B52" s="20" t="s">
        <v>219</v>
      </c>
      <c r="C52" s="21" t="s">
        <v>208</v>
      </c>
      <c r="D52" s="21" t="s">
        <v>241</v>
      </c>
      <c r="E52" s="20" t="s">
        <v>271</v>
      </c>
      <c r="F52" s="21" t="s">
        <v>182</v>
      </c>
      <c r="G52" s="21" t="s">
        <v>182</v>
      </c>
      <c r="H52" s="21" t="s">
        <v>182</v>
      </c>
      <c r="I52" s="19" t="s">
        <v>112</v>
      </c>
      <c r="J52" s="21" t="s">
        <v>182</v>
      </c>
      <c r="K52" s="21" t="s">
        <v>182</v>
      </c>
    </row>
    <row r="53" spans="1:11" ht="33.75" customHeight="1" x14ac:dyDescent="0.3">
      <c r="A53" s="21">
        <v>50</v>
      </c>
      <c r="B53" s="20" t="s">
        <v>178</v>
      </c>
      <c r="C53" s="21" t="s">
        <v>179</v>
      </c>
      <c r="D53" s="21" t="s">
        <v>180</v>
      </c>
      <c r="E53" s="20" t="s">
        <v>272</v>
      </c>
      <c r="F53" s="21" t="s">
        <v>182</v>
      </c>
      <c r="G53" s="21" t="s">
        <v>182</v>
      </c>
      <c r="H53" s="21" t="s">
        <v>182</v>
      </c>
      <c r="I53" s="21" t="s">
        <v>182</v>
      </c>
      <c r="J53" s="19" t="s">
        <v>135</v>
      </c>
      <c r="K53" s="21" t="s">
        <v>182</v>
      </c>
    </row>
    <row r="54" spans="1:11" ht="33.75" customHeight="1" x14ac:dyDescent="0.3">
      <c r="A54" s="21">
        <v>51</v>
      </c>
      <c r="B54" s="20" t="s">
        <v>183</v>
      </c>
      <c r="C54" s="21" t="s">
        <v>179</v>
      </c>
      <c r="D54" s="21" t="s">
        <v>180</v>
      </c>
      <c r="E54" s="20" t="s">
        <v>273</v>
      </c>
      <c r="F54" s="21" t="s">
        <v>182</v>
      </c>
      <c r="G54" s="21" t="s">
        <v>182</v>
      </c>
      <c r="H54" s="21" t="s">
        <v>182</v>
      </c>
      <c r="I54" s="21" t="s">
        <v>182</v>
      </c>
      <c r="J54" s="19" t="s">
        <v>127</v>
      </c>
      <c r="K54" s="21" t="s">
        <v>182</v>
      </c>
    </row>
    <row r="55" spans="1:11" ht="22.5" customHeight="1" x14ac:dyDescent="0.3">
      <c r="A55" s="21">
        <v>52</v>
      </c>
      <c r="B55" s="20" t="s">
        <v>185</v>
      </c>
      <c r="C55" s="21" t="s">
        <v>179</v>
      </c>
      <c r="D55" s="21" t="s">
        <v>225</v>
      </c>
      <c r="E55" s="20" t="s">
        <v>274</v>
      </c>
      <c r="F55" s="21" t="s">
        <v>182</v>
      </c>
      <c r="G55" s="21" t="s">
        <v>182</v>
      </c>
      <c r="H55" s="21" t="s">
        <v>182</v>
      </c>
      <c r="I55" s="21" t="s">
        <v>182</v>
      </c>
      <c r="J55" s="19" t="s">
        <v>119</v>
      </c>
      <c r="K55" s="21" t="s">
        <v>182</v>
      </c>
    </row>
    <row r="56" spans="1:11" ht="45" customHeight="1" x14ac:dyDescent="0.3">
      <c r="A56" s="21">
        <v>53</v>
      </c>
      <c r="B56" s="20" t="s">
        <v>188</v>
      </c>
      <c r="C56" s="21" t="s">
        <v>179</v>
      </c>
      <c r="D56" s="21" t="s">
        <v>275</v>
      </c>
      <c r="E56" s="20" t="s">
        <v>276</v>
      </c>
      <c r="F56" s="21" t="s">
        <v>182</v>
      </c>
      <c r="G56" s="21" t="s">
        <v>182</v>
      </c>
      <c r="H56" s="21" t="s">
        <v>182</v>
      </c>
      <c r="I56" s="21" t="s">
        <v>182</v>
      </c>
      <c r="J56" s="19" t="s">
        <v>127</v>
      </c>
      <c r="K56" s="21" t="s">
        <v>182</v>
      </c>
    </row>
    <row r="57" spans="1:11" ht="33.75" customHeight="1" x14ac:dyDescent="0.3">
      <c r="A57" s="21">
        <v>54</v>
      </c>
      <c r="B57" s="20" t="s">
        <v>192</v>
      </c>
      <c r="C57" s="21" t="s">
        <v>193</v>
      </c>
      <c r="D57" s="21" t="s">
        <v>277</v>
      </c>
      <c r="E57" s="20" t="s">
        <v>278</v>
      </c>
      <c r="F57" s="21" t="s">
        <v>182</v>
      </c>
      <c r="G57" s="21" t="s">
        <v>182</v>
      </c>
      <c r="H57" s="21" t="s">
        <v>182</v>
      </c>
      <c r="I57" s="21" t="s">
        <v>182</v>
      </c>
      <c r="J57" s="19" t="s">
        <v>127</v>
      </c>
      <c r="K57" s="21" t="s">
        <v>182</v>
      </c>
    </row>
    <row r="58" spans="1:11" ht="33.75" customHeight="1" x14ac:dyDescent="0.3">
      <c r="A58" s="21">
        <v>55</v>
      </c>
      <c r="B58" s="20" t="s">
        <v>199</v>
      </c>
      <c r="C58" s="21" t="s">
        <v>179</v>
      </c>
      <c r="D58" s="21" t="s">
        <v>279</v>
      </c>
      <c r="E58" s="20" t="s">
        <v>280</v>
      </c>
      <c r="F58" s="21" t="s">
        <v>182</v>
      </c>
      <c r="G58" s="21" t="s">
        <v>182</v>
      </c>
      <c r="H58" s="21" t="s">
        <v>182</v>
      </c>
      <c r="I58" s="21" t="s">
        <v>182</v>
      </c>
      <c r="J58" s="19" t="s">
        <v>119</v>
      </c>
      <c r="K58" s="21" t="s">
        <v>182</v>
      </c>
    </row>
    <row r="59" spans="1:11" ht="33.75" customHeight="1" x14ac:dyDescent="0.3">
      <c r="A59" s="21">
        <v>56</v>
      </c>
      <c r="B59" s="20" t="s">
        <v>202</v>
      </c>
      <c r="C59" s="21" t="s">
        <v>179</v>
      </c>
      <c r="D59" s="21" t="s">
        <v>230</v>
      </c>
      <c r="E59" s="20" t="s">
        <v>281</v>
      </c>
      <c r="F59" s="21" t="s">
        <v>182</v>
      </c>
      <c r="G59" s="21" t="s">
        <v>182</v>
      </c>
      <c r="H59" s="21" t="s">
        <v>182</v>
      </c>
      <c r="I59" s="21" t="s">
        <v>182</v>
      </c>
      <c r="J59" s="19" t="s">
        <v>119</v>
      </c>
      <c r="K59" s="21" t="s">
        <v>182</v>
      </c>
    </row>
    <row r="60" spans="1:11" ht="22.5" customHeight="1" x14ac:dyDescent="0.3">
      <c r="A60" s="21">
        <v>57</v>
      </c>
      <c r="B60" s="20" t="s">
        <v>204</v>
      </c>
      <c r="C60" s="21" t="s">
        <v>193</v>
      </c>
      <c r="D60" s="21" t="s">
        <v>282</v>
      </c>
      <c r="E60" s="20" t="s">
        <v>283</v>
      </c>
      <c r="F60" s="21" t="s">
        <v>182</v>
      </c>
      <c r="G60" s="21" t="s">
        <v>182</v>
      </c>
      <c r="H60" s="21" t="s">
        <v>182</v>
      </c>
      <c r="I60" s="21" t="s">
        <v>182</v>
      </c>
      <c r="J60" s="19" t="s">
        <v>127</v>
      </c>
      <c r="K60" s="21" t="s">
        <v>182</v>
      </c>
    </row>
    <row r="61" spans="1:11" ht="45" customHeight="1" x14ac:dyDescent="0.3">
      <c r="A61" s="21">
        <v>58</v>
      </c>
      <c r="B61" s="20" t="s">
        <v>207</v>
      </c>
      <c r="C61" s="21" t="s">
        <v>208</v>
      </c>
      <c r="D61" s="21">
        <v>9</v>
      </c>
      <c r="E61" s="20" t="s">
        <v>284</v>
      </c>
      <c r="F61" s="21" t="s">
        <v>182</v>
      </c>
      <c r="G61" s="21" t="s">
        <v>182</v>
      </c>
      <c r="H61" s="21" t="s">
        <v>182</v>
      </c>
      <c r="I61" s="21" t="s">
        <v>182</v>
      </c>
      <c r="J61" s="19" t="s">
        <v>119</v>
      </c>
      <c r="K61" s="21" t="s">
        <v>182</v>
      </c>
    </row>
    <row r="62" spans="1:11" ht="33.75" customHeight="1" x14ac:dyDescent="0.3">
      <c r="A62" s="21">
        <v>59</v>
      </c>
      <c r="B62" s="20" t="s">
        <v>210</v>
      </c>
      <c r="C62" s="21" t="s">
        <v>193</v>
      </c>
      <c r="D62" s="21" t="s">
        <v>262</v>
      </c>
      <c r="E62" s="20" t="s">
        <v>285</v>
      </c>
      <c r="F62" s="21" t="s">
        <v>182</v>
      </c>
      <c r="G62" s="21" t="s">
        <v>182</v>
      </c>
      <c r="H62" s="21" t="s">
        <v>182</v>
      </c>
      <c r="I62" s="21" t="s">
        <v>182</v>
      </c>
      <c r="J62" s="19" t="s">
        <v>127</v>
      </c>
      <c r="K62" s="21" t="s">
        <v>182</v>
      </c>
    </row>
    <row r="63" spans="1:11" ht="45" customHeight="1" x14ac:dyDescent="0.3">
      <c r="A63" s="21">
        <v>60</v>
      </c>
      <c r="B63" s="20" t="s">
        <v>213</v>
      </c>
      <c r="C63" s="21" t="s">
        <v>193</v>
      </c>
      <c r="D63" s="21" t="s">
        <v>237</v>
      </c>
      <c r="E63" s="20" t="s">
        <v>286</v>
      </c>
      <c r="F63" s="21" t="s">
        <v>182</v>
      </c>
      <c r="G63" s="21" t="s">
        <v>182</v>
      </c>
      <c r="H63" s="21" t="s">
        <v>182</v>
      </c>
      <c r="I63" s="21" t="s">
        <v>182</v>
      </c>
      <c r="J63" s="19" t="s">
        <v>127</v>
      </c>
      <c r="K63" s="21" t="s">
        <v>182</v>
      </c>
    </row>
    <row r="64" spans="1:11" ht="33.75" customHeight="1" x14ac:dyDescent="0.3">
      <c r="A64" s="21">
        <v>61</v>
      </c>
      <c r="B64" s="20" t="s">
        <v>219</v>
      </c>
      <c r="C64" s="21" t="s">
        <v>208</v>
      </c>
      <c r="D64" s="21" t="s">
        <v>241</v>
      </c>
      <c r="E64" s="20" t="s">
        <v>287</v>
      </c>
      <c r="F64" s="21" t="s">
        <v>182</v>
      </c>
      <c r="G64" s="21" t="s">
        <v>182</v>
      </c>
      <c r="H64" s="21" t="s">
        <v>182</v>
      </c>
      <c r="I64" s="21" t="s">
        <v>182</v>
      </c>
      <c r="J64" s="19" t="s">
        <v>135</v>
      </c>
      <c r="K64" s="21" t="s">
        <v>182</v>
      </c>
    </row>
    <row r="65" spans="1:11" ht="90.75" customHeight="1" x14ac:dyDescent="0.3">
      <c r="A65" s="21">
        <v>62</v>
      </c>
      <c r="B65" s="20" t="s">
        <v>178</v>
      </c>
      <c r="C65" s="21" t="s">
        <v>179</v>
      </c>
      <c r="D65" s="21" t="s">
        <v>180</v>
      </c>
      <c r="E65" s="20" t="s">
        <v>288</v>
      </c>
      <c r="F65" s="21" t="s">
        <v>182</v>
      </c>
      <c r="G65" s="21" t="s">
        <v>182</v>
      </c>
      <c r="H65" s="21" t="s">
        <v>182</v>
      </c>
      <c r="I65" s="21" t="s">
        <v>182</v>
      </c>
      <c r="J65" s="21" t="s">
        <v>182</v>
      </c>
      <c r="K65" s="21" t="s">
        <v>191</v>
      </c>
    </row>
    <row r="66" spans="1:11" ht="33.75" customHeight="1" x14ac:dyDescent="0.3">
      <c r="A66" s="21">
        <v>63</v>
      </c>
      <c r="B66" s="20" t="s">
        <v>185</v>
      </c>
      <c r="C66" s="21" t="s">
        <v>179</v>
      </c>
      <c r="D66" s="21" t="s">
        <v>186</v>
      </c>
      <c r="E66" s="20" t="s">
        <v>289</v>
      </c>
      <c r="F66" s="21" t="s">
        <v>182</v>
      </c>
      <c r="G66" s="21" t="s">
        <v>182</v>
      </c>
      <c r="H66" s="21" t="s">
        <v>182</v>
      </c>
      <c r="I66" s="21" t="s">
        <v>182</v>
      </c>
      <c r="J66" s="21" t="s">
        <v>182</v>
      </c>
      <c r="K66" s="21" t="s">
        <v>191</v>
      </c>
    </row>
    <row r="67" spans="1:11" ht="45" customHeight="1" x14ac:dyDescent="0.3">
      <c r="A67" s="21">
        <v>64</v>
      </c>
      <c r="B67" s="20" t="s">
        <v>192</v>
      </c>
      <c r="C67" s="21" t="s">
        <v>193</v>
      </c>
      <c r="D67" s="21" t="s">
        <v>290</v>
      </c>
      <c r="E67" s="20" t="s">
        <v>291</v>
      </c>
      <c r="F67" s="21" t="s">
        <v>182</v>
      </c>
      <c r="G67" s="21" t="s">
        <v>182</v>
      </c>
      <c r="H67" s="21" t="s">
        <v>182</v>
      </c>
      <c r="I67" s="21" t="s">
        <v>182</v>
      </c>
      <c r="J67" s="21" t="s">
        <v>182</v>
      </c>
      <c r="K67" s="19" t="s">
        <v>166</v>
      </c>
    </row>
    <row r="68" spans="1:11" ht="22.5" customHeight="1" x14ac:dyDescent="0.3">
      <c r="A68" s="21">
        <v>65</v>
      </c>
      <c r="B68" s="20" t="s">
        <v>199</v>
      </c>
      <c r="C68" s="21" t="s">
        <v>179</v>
      </c>
      <c r="D68" s="21" t="s">
        <v>292</v>
      </c>
      <c r="E68" s="20" t="s">
        <v>293</v>
      </c>
      <c r="F68" s="21" t="s">
        <v>182</v>
      </c>
      <c r="G68" s="21" t="s">
        <v>182</v>
      </c>
      <c r="H68" s="21" t="s">
        <v>182</v>
      </c>
      <c r="I68" s="21" t="s">
        <v>182</v>
      </c>
      <c r="J68" s="21" t="s">
        <v>182</v>
      </c>
      <c r="K68" s="21" t="s">
        <v>191</v>
      </c>
    </row>
    <row r="69" spans="1:11" ht="33.75" customHeight="1" x14ac:dyDescent="0.3">
      <c r="A69" s="21">
        <v>66</v>
      </c>
      <c r="B69" s="20" t="s">
        <v>202</v>
      </c>
      <c r="C69" s="21" t="s">
        <v>179</v>
      </c>
      <c r="D69" s="21" t="s">
        <v>230</v>
      </c>
      <c r="E69" s="20" t="s">
        <v>294</v>
      </c>
      <c r="F69" s="21" t="s">
        <v>182</v>
      </c>
      <c r="G69" s="21" t="s">
        <v>182</v>
      </c>
      <c r="H69" s="21" t="s">
        <v>182</v>
      </c>
      <c r="I69" s="21" t="s">
        <v>182</v>
      </c>
      <c r="J69" s="21" t="s">
        <v>182</v>
      </c>
      <c r="K69" s="19" t="s">
        <v>142</v>
      </c>
    </row>
    <row r="70" spans="1:11" ht="33.75" customHeight="1" x14ac:dyDescent="0.3">
      <c r="A70" s="21">
        <v>67</v>
      </c>
      <c r="B70" s="20" t="s">
        <v>204</v>
      </c>
      <c r="C70" s="21" t="s">
        <v>193</v>
      </c>
      <c r="D70" s="21" t="s">
        <v>205</v>
      </c>
      <c r="E70" s="20" t="s">
        <v>295</v>
      </c>
      <c r="F70" s="21" t="s">
        <v>182</v>
      </c>
      <c r="G70" s="21" t="s">
        <v>182</v>
      </c>
      <c r="H70" s="21" t="s">
        <v>182</v>
      </c>
      <c r="I70" s="21" t="s">
        <v>182</v>
      </c>
      <c r="J70" s="21" t="s">
        <v>182</v>
      </c>
      <c r="K70" s="19" t="s">
        <v>142</v>
      </c>
    </row>
    <row r="71" spans="1:11" ht="57" customHeight="1" x14ac:dyDescent="0.3">
      <c r="A71" s="21">
        <v>68</v>
      </c>
      <c r="B71" s="20" t="s">
        <v>207</v>
      </c>
      <c r="C71" s="21" t="s">
        <v>208</v>
      </c>
      <c r="D71" s="21">
        <v>2</v>
      </c>
      <c r="E71" s="20" t="s">
        <v>296</v>
      </c>
      <c r="F71" s="21" t="s">
        <v>182</v>
      </c>
      <c r="G71" s="21" t="s">
        <v>182</v>
      </c>
      <c r="H71" s="21" t="s">
        <v>182</v>
      </c>
      <c r="I71" s="21" t="s">
        <v>182</v>
      </c>
      <c r="J71" s="21" t="s">
        <v>182</v>
      </c>
      <c r="K71" s="19" t="s">
        <v>166</v>
      </c>
    </row>
    <row r="72" spans="1:11" ht="45" customHeight="1" x14ac:dyDescent="0.3">
      <c r="A72" s="21">
        <v>69</v>
      </c>
      <c r="B72" s="20" t="s">
        <v>210</v>
      </c>
      <c r="C72" s="21" t="s">
        <v>193</v>
      </c>
      <c r="D72" s="21" t="s">
        <v>297</v>
      </c>
      <c r="E72" s="20" t="s">
        <v>298</v>
      </c>
      <c r="F72" s="21" t="s">
        <v>182</v>
      </c>
      <c r="G72" s="21" t="s">
        <v>182</v>
      </c>
      <c r="H72" s="21" t="s">
        <v>182</v>
      </c>
      <c r="I72" s="21" t="s">
        <v>182</v>
      </c>
      <c r="J72" s="21" t="s">
        <v>182</v>
      </c>
      <c r="K72" s="19" t="s">
        <v>142</v>
      </c>
    </row>
    <row r="73" spans="1:11" ht="45" customHeight="1" x14ac:dyDescent="0.3">
      <c r="A73" s="21">
        <v>70</v>
      </c>
      <c r="B73" s="20" t="s">
        <v>213</v>
      </c>
      <c r="C73" s="21" t="s">
        <v>193</v>
      </c>
      <c r="D73" s="21" t="s">
        <v>237</v>
      </c>
      <c r="E73" s="20" t="s">
        <v>299</v>
      </c>
      <c r="F73" s="21" t="s">
        <v>182</v>
      </c>
      <c r="G73" s="21" t="s">
        <v>182</v>
      </c>
      <c r="H73" s="21" t="s">
        <v>182</v>
      </c>
      <c r="I73" s="21" t="s">
        <v>182</v>
      </c>
      <c r="J73" s="21" t="s">
        <v>182</v>
      </c>
      <c r="K73" s="19" t="s">
        <v>142</v>
      </c>
    </row>
    <row r="74" spans="1:11" ht="33.75" customHeight="1" x14ac:dyDescent="0.3">
      <c r="A74" s="21">
        <v>71</v>
      </c>
      <c r="B74" s="20" t="s">
        <v>219</v>
      </c>
      <c r="C74" s="21" t="s">
        <v>208</v>
      </c>
      <c r="D74" s="21" t="s">
        <v>300</v>
      </c>
      <c r="E74" s="20" t="s">
        <v>301</v>
      </c>
      <c r="F74" s="21" t="s">
        <v>182</v>
      </c>
      <c r="G74" s="21" t="s">
        <v>182</v>
      </c>
      <c r="H74" s="21" t="s">
        <v>182</v>
      </c>
      <c r="I74" s="21" t="s">
        <v>182</v>
      </c>
      <c r="J74" s="21" t="s">
        <v>182</v>
      </c>
      <c r="K74" s="21" t="s">
        <v>191</v>
      </c>
    </row>
    <row r="76" spans="1:11" x14ac:dyDescent="0.3">
      <c r="B76" s="68"/>
      <c r="C76" s="68"/>
      <c r="D76" s="68"/>
      <c r="E76" s="68"/>
      <c r="F76" s="68"/>
      <c r="G76" s="68"/>
      <c r="H76" s="68"/>
      <c r="I76" s="68"/>
      <c r="J76" s="68"/>
      <c r="K76" s="68"/>
    </row>
  </sheetData>
  <mergeCells count="2">
    <mergeCell ref="A1:K2"/>
    <mergeCell ref="B76:K76"/>
  </mergeCells>
  <dataValidations count="6">
    <dataValidation type="list" allowBlank="1" sqref="F4:F74" xr:uid="{00000000-0002-0000-0200-000000000000}">
      <formula1>"D1.1,D1.2,D1.3,D1.4,n/a,—"</formula1>
      <formula2>0</formula2>
    </dataValidation>
    <dataValidation type="list" allowBlank="1" sqref="G4:G74" xr:uid="{00000000-0002-0000-0200-000001000000}">
      <formula1>"D2.OC,D2.RM,D2.RR,D2.PO,D2.OV,D2.SC,D2.FW,D2.X,n/a,—"</formula1>
      <formula2>0</formula2>
    </dataValidation>
    <dataValidation type="list" allowBlank="1" sqref="H4:H74" xr:uid="{00000000-0002-0000-0200-000002000000}">
      <formula1>"D3.1,D3.2,D3.3,D3.4,n/a,—"</formula1>
      <formula2>0</formula2>
    </dataValidation>
    <dataValidation type="list" allowBlank="1" sqref="I4:I74" xr:uid="{00000000-0002-0000-0200-000003000000}">
      <formula1>"D4.1,D4.2,D4.3,D4.4,n/a,—"</formula1>
      <formula2>0</formula2>
    </dataValidation>
    <dataValidation type="list" allowBlank="1" sqref="J4:J74" xr:uid="{00000000-0002-0000-0200-000004000000}">
      <formula1>"D5.ID,D5.PR,D5.DE,D5.RS,D5.X,n/a,—"</formula1>
      <formula2>0</formula2>
    </dataValidation>
    <dataValidation type="list" allowBlank="1" sqref="K4:K74" xr:uid="{00000000-0002-0000-0200-000005000000}">
      <formula1>"D6.AA,D6.IV,D6.AM,D6.SP,D6.AC,D6.UL,D6.IF,n/a,—"</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H86"/>
  <sheetViews>
    <sheetView zoomScale="130" zoomScaleNormal="130" workbookViewId="0">
      <pane ySplit="2" topLeftCell="A74" activePane="bottomLeft" state="frozen"/>
      <selection activeCell="B1" sqref="B1"/>
      <selection pane="bottomLeft" activeCell="C77" sqref="C77"/>
    </sheetView>
  </sheetViews>
  <sheetFormatPr defaultColWidth="8.6640625" defaultRowHeight="14.4" x14ac:dyDescent="0.3"/>
  <cols>
    <col min="1" max="1" width="5" customWidth="1"/>
    <col min="2" max="2" width="14.21875" customWidth="1"/>
    <col min="3" max="3" width="9" style="6" customWidth="1"/>
    <col min="4" max="4" width="24" customWidth="1"/>
    <col min="5" max="5" width="68.6640625" customWidth="1"/>
    <col min="6" max="6" width="12" style="6" customWidth="1"/>
    <col min="7" max="7" width="46.33203125" customWidth="1"/>
    <col min="8" max="8" width="12" style="6" customWidth="1"/>
  </cols>
  <sheetData>
    <row r="1" spans="1:8" ht="49.2" customHeight="1" x14ac:dyDescent="0.3">
      <c r="A1" s="63" t="s">
        <v>536</v>
      </c>
      <c r="B1" s="63"/>
      <c r="C1" s="63"/>
      <c r="D1" s="63"/>
      <c r="E1" s="63"/>
      <c r="F1" s="63"/>
      <c r="G1" s="63"/>
      <c r="H1" s="63"/>
    </row>
    <row r="2" spans="1:8" ht="27.6" x14ac:dyDescent="0.3">
      <c r="A2" s="26" t="s">
        <v>173</v>
      </c>
      <c r="B2" s="26" t="s">
        <v>302</v>
      </c>
      <c r="C2" s="26" t="s">
        <v>22</v>
      </c>
      <c r="D2" s="26" t="s">
        <v>174</v>
      </c>
      <c r="E2" s="26" t="s">
        <v>303</v>
      </c>
      <c r="F2" s="26" t="s">
        <v>176</v>
      </c>
      <c r="G2" s="26" t="s">
        <v>304</v>
      </c>
      <c r="H2" s="26" t="s">
        <v>305</v>
      </c>
    </row>
    <row r="3" spans="1:8" ht="22.5" hidden="1" customHeight="1" x14ac:dyDescent="0.3">
      <c r="A3" s="20">
        <v>1</v>
      </c>
      <c r="B3" s="20" t="s">
        <v>306</v>
      </c>
      <c r="C3" s="19" t="s">
        <v>28</v>
      </c>
      <c r="D3" s="20" t="s">
        <v>178</v>
      </c>
      <c r="E3" s="20" t="s">
        <v>181</v>
      </c>
      <c r="F3" s="21" t="s">
        <v>180</v>
      </c>
      <c r="G3" s="20" t="s">
        <v>307</v>
      </c>
      <c r="H3" s="21" t="s">
        <v>308</v>
      </c>
    </row>
    <row r="4" spans="1:8" ht="22.5" hidden="1" customHeight="1" x14ac:dyDescent="0.3">
      <c r="A4" s="20">
        <v>2</v>
      </c>
      <c r="B4" s="20" t="s">
        <v>306</v>
      </c>
      <c r="C4" s="19" t="s">
        <v>36</v>
      </c>
      <c r="D4" s="20" t="s">
        <v>183</v>
      </c>
      <c r="E4" s="20" t="s">
        <v>184</v>
      </c>
      <c r="F4" s="21" t="s">
        <v>180</v>
      </c>
      <c r="G4" s="20" t="s">
        <v>309</v>
      </c>
      <c r="H4" s="21" t="s">
        <v>310</v>
      </c>
    </row>
    <row r="5" spans="1:8" ht="33.75" hidden="1" customHeight="1" x14ac:dyDescent="0.3">
      <c r="A5" s="20">
        <v>3</v>
      </c>
      <c r="B5" s="20" t="s">
        <v>306</v>
      </c>
      <c r="C5" s="19" t="s">
        <v>28</v>
      </c>
      <c r="D5" s="20" t="s">
        <v>185</v>
      </c>
      <c r="E5" s="20" t="s">
        <v>187</v>
      </c>
      <c r="F5" s="21" t="s">
        <v>186</v>
      </c>
      <c r="G5" s="20" t="s">
        <v>311</v>
      </c>
      <c r="H5" s="21" t="s">
        <v>308</v>
      </c>
    </row>
    <row r="6" spans="1:8" ht="33.75" hidden="1" customHeight="1" x14ac:dyDescent="0.3">
      <c r="A6" s="20">
        <v>4</v>
      </c>
      <c r="B6" s="20" t="s">
        <v>306</v>
      </c>
      <c r="C6" s="19" t="s">
        <v>36</v>
      </c>
      <c r="D6" s="20" t="s">
        <v>188</v>
      </c>
      <c r="E6" s="20" t="s">
        <v>190</v>
      </c>
      <c r="F6" s="21" t="s">
        <v>189</v>
      </c>
      <c r="G6" s="20" t="s">
        <v>312</v>
      </c>
      <c r="H6" s="21" t="s">
        <v>313</v>
      </c>
    </row>
    <row r="7" spans="1:8" ht="45" hidden="1" customHeight="1" x14ac:dyDescent="0.3">
      <c r="A7" s="20">
        <v>5</v>
      </c>
      <c r="B7" s="20" t="s">
        <v>306</v>
      </c>
      <c r="C7" s="19" t="s">
        <v>36</v>
      </c>
      <c r="D7" s="20" t="s">
        <v>192</v>
      </c>
      <c r="E7" s="20" t="s">
        <v>195</v>
      </c>
      <c r="F7" s="21" t="s">
        <v>194</v>
      </c>
      <c r="G7" s="20" t="s">
        <v>314</v>
      </c>
      <c r="H7" s="21" t="s">
        <v>315</v>
      </c>
    </row>
    <row r="8" spans="1:8" ht="68.25" hidden="1" customHeight="1" x14ac:dyDescent="0.3">
      <c r="A8" s="20">
        <v>6</v>
      </c>
      <c r="B8" s="20" t="s">
        <v>306</v>
      </c>
      <c r="C8" s="19" t="s">
        <v>36</v>
      </c>
      <c r="D8" s="20" t="s">
        <v>196</v>
      </c>
      <c r="E8" s="20" t="s">
        <v>198</v>
      </c>
      <c r="F8" s="21" t="s">
        <v>197</v>
      </c>
      <c r="G8" s="20" t="s">
        <v>316</v>
      </c>
      <c r="H8" s="21" t="s">
        <v>310</v>
      </c>
    </row>
    <row r="9" spans="1:8" ht="102" hidden="1" customHeight="1" x14ac:dyDescent="0.3">
      <c r="A9" s="20">
        <v>7</v>
      </c>
      <c r="B9" s="20" t="s">
        <v>306</v>
      </c>
      <c r="C9" s="19" t="s">
        <v>36</v>
      </c>
      <c r="D9" s="20" t="s">
        <v>199</v>
      </c>
      <c r="E9" s="20" t="s">
        <v>201</v>
      </c>
      <c r="F9" s="21" t="s">
        <v>200</v>
      </c>
      <c r="G9" s="20" t="s">
        <v>317</v>
      </c>
      <c r="H9" s="21" t="s">
        <v>310</v>
      </c>
    </row>
    <row r="10" spans="1:8" ht="33.75" hidden="1" customHeight="1" x14ac:dyDescent="0.3">
      <c r="A10" s="20">
        <v>8</v>
      </c>
      <c r="B10" s="20" t="s">
        <v>306</v>
      </c>
      <c r="C10" s="19" t="s">
        <v>28</v>
      </c>
      <c r="D10" s="20" t="s">
        <v>202</v>
      </c>
      <c r="E10" s="20" t="s">
        <v>203</v>
      </c>
      <c r="F10" s="21" t="s">
        <v>180</v>
      </c>
      <c r="G10" s="20" t="s">
        <v>318</v>
      </c>
      <c r="H10" s="21" t="s">
        <v>308</v>
      </c>
    </row>
    <row r="11" spans="1:8" ht="33.75" hidden="1" customHeight="1" x14ac:dyDescent="0.3">
      <c r="A11" s="20">
        <v>9</v>
      </c>
      <c r="B11" s="20" t="s">
        <v>306</v>
      </c>
      <c r="C11" s="19" t="s">
        <v>28</v>
      </c>
      <c r="D11" s="20" t="s">
        <v>204</v>
      </c>
      <c r="E11" s="20" t="s">
        <v>206</v>
      </c>
      <c r="F11" s="21" t="s">
        <v>205</v>
      </c>
      <c r="G11" s="20" t="s">
        <v>319</v>
      </c>
      <c r="H11" s="21" t="s">
        <v>308</v>
      </c>
    </row>
    <row r="12" spans="1:8" ht="57" hidden="1" customHeight="1" x14ac:dyDescent="0.3">
      <c r="A12" s="20">
        <v>10</v>
      </c>
      <c r="B12" s="20" t="s">
        <v>306</v>
      </c>
      <c r="C12" s="19" t="s">
        <v>41</v>
      </c>
      <c r="D12" s="20" t="s">
        <v>207</v>
      </c>
      <c r="E12" s="20" t="s">
        <v>541</v>
      </c>
      <c r="F12" s="21">
        <v>2</v>
      </c>
      <c r="G12" s="20" t="s">
        <v>320</v>
      </c>
      <c r="H12" s="21" t="s">
        <v>310</v>
      </c>
    </row>
    <row r="13" spans="1:8" ht="90.75" hidden="1" customHeight="1" x14ac:dyDescent="0.3">
      <c r="A13" s="20">
        <v>11</v>
      </c>
      <c r="B13" s="20" t="s">
        <v>306</v>
      </c>
      <c r="C13" s="19" t="s">
        <v>28</v>
      </c>
      <c r="D13" s="20" t="s">
        <v>210</v>
      </c>
      <c r="E13" s="20" t="s">
        <v>212</v>
      </c>
      <c r="F13" s="21" t="s">
        <v>211</v>
      </c>
      <c r="G13" s="20" t="s">
        <v>321</v>
      </c>
      <c r="H13" s="21" t="s">
        <v>308</v>
      </c>
    </row>
    <row r="14" spans="1:8" ht="33.75" hidden="1" customHeight="1" x14ac:dyDescent="0.3">
      <c r="A14" s="20">
        <v>12</v>
      </c>
      <c r="B14" s="20" t="s">
        <v>306</v>
      </c>
      <c r="C14" s="19" t="s">
        <v>28</v>
      </c>
      <c r="D14" s="20" t="s">
        <v>213</v>
      </c>
      <c r="E14" s="20" t="s">
        <v>215</v>
      </c>
      <c r="F14" s="21" t="s">
        <v>214</v>
      </c>
      <c r="G14" s="20" t="s">
        <v>322</v>
      </c>
      <c r="H14" s="21" t="s">
        <v>308</v>
      </c>
    </row>
    <row r="15" spans="1:8" ht="33.75" hidden="1" customHeight="1" x14ac:dyDescent="0.3">
      <c r="A15" s="20">
        <v>13</v>
      </c>
      <c r="B15" s="20" t="s">
        <v>306</v>
      </c>
      <c r="C15" s="19" t="s">
        <v>28</v>
      </c>
      <c r="D15" s="20" t="s">
        <v>216</v>
      </c>
      <c r="E15" s="20" t="s">
        <v>218</v>
      </c>
      <c r="F15" s="21" t="s">
        <v>217</v>
      </c>
      <c r="G15" s="20" t="s">
        <v>323</v>
      </c>
      <c r="H15" s="21" t="s">
        <v>308</v>
      </c>
    </row>
    <row r="16" spans="1:8" ht="33.75" hidden="1" customHeight="1" x14ac:dyDescent="0.3">
      <c r="A16" s="20">
        <v>14</v>
      </c>
      <c r="B16" s="20" t="s">
        <v>306</v>
      </c>
      <c r="C16" s="19" t="s">
        <v>41</v>
      </c>
      <c r="D16" s="20" t="s">
        <v>219</v>
      </c>
      <c r="E16" s="20" t="s">
        <v>221</v>
      </c>
      <c r="F16" s="21" t="s">
        <v>220</v>
      </c>
      <c r="G16" s="20" t="s">
        <v>324</v>
      </c>
      <c r="H16" s="21" t="s">
        <v>310</v>
      </c>
    </row>
    <row r="17" spans="1:8" ht="57" hidden="1" customHeight="1" x14ac:dyDescent="0.3">
      <c r="A17" s="20">
        <v>15</v>
      </c>
      <c r="B17" s="20" t="s">
        <v>325</v>
      </c>
      <c r="C17" s="19" t="s">
        <v>73</v>
      </c>
      <c r="D17" s="20" t="s">
        <v>178</v>
      </c>
      <c r="E17" s="20" t="s">
        <v>223</v>
      </c>
      <c r="F17" s="21" t="s">
        <v>222</v>
      </c>
      <c r="G17" s="20" t="s">
        <v>326</v>
      </c>
      <c r="H17" s="21" t="s">
        <v>310</v>
      </c>
    </row>
    <row r="18" spans="1:8" ht="68.25" hidden="1" customHeight="1" x14ac:dyDescent="0.3">
      <c r="A18" s="20">
        <v>16</v>
      </c>
      <c r="B18" s="20" t="s">
        <v>325</v>
      </c>
      <c r="C18" s="19" t="s">
        <v>73</v>
      </c>
      <c r="D18" s="20" t="s">
        <v>183</v>
      </c>
      <c r="E18" s="20" t="s">
        <v>224</v>
      </c>
      <c r="F18" s="21" t="s">
        <v>180</v>
      </c>
      <c r="G18" s="20" t="s">
        <v>327</v>
      </c>
      <c r="H18" s="21" t="s">
        <v>310</v>
      </c>
    </row>
    <row r="19" spans="1:8" ht="57" hidden="1" customHeight="1" x14ac:dyDescent="0.3">
      <c r="A19" s="20">
        <v>17</v>
      </c>
      <c r="B19" s="20" t="s">
        <v>325</v>
      </c>
      <c r="C19" s="19" t="s">
        <v>73</v>
      </c>
      <c r="D19" s="20" t="s">
        <v>185</v>
      </c>
      <c r="E19" s="20" t="s">
        <v>226</v>
      </c>
      <c r="F19" s="21" t="s">
        <v>225</v>
      </c>
      <c r="G19" s="20" t="s">
        <v>328</v>
      </c>
      <c r="H19" s="21" t="s">
        <v>310</v>
      </c>
    </row>
    <row r="20" spans="1:8" ht="45" hidden="1" customHeight="1" x14ac:dyDescent="0.3">
      <c r="A20" s="20">
        <v>18</v>
      </c>
      <c r="B20" s="20" t="s">
        <v>325</v>
      </c>
      <c r="C20" s="19" t="s">
        <v>170</v>
      </c>
      <c r="D20" s="20" t="s">
        <v>188</v>
      </c>
      <c r="E20" s="20" t="s">
        <v>329</v>
      </c>
      <c r="F20" s="21" t="s">
        <v>330</v>
      </c>
      <c r="G20" s="20" t="s">
        <v>331</v>
      </c>
      <c r="H20" s="21" t="s">
        <v>308</v>
      </c>
    </row>
    <row r="21" spans="1:8" ht="22.5" hidden="1" customHeight="1" x14ac:dyDescent="0.3">
      <c r="A21" s="20">
        <v>19</v>
      </c>
      <c r="B21" s="20" t="s">
        <v>325</v>
      </c>
      <c r="C21" s="19" t="s">
        <v>73</v>
      </c>
      <c r="D21" s="20" t="s">
        <v>192</v>
      </c>
      <c r="E21" s="20" t="s">
        <v>227</v>
      </c>
      <c r="F21" s="21" t="s">
        <v>222</v>
      </c>
      <c r="G21" s="20" t="s">
        <v>332</v>
      </c>
      <c r="H21" s="21" t="s">
        <v>310</v>
      </c>
    </row>
    <row r="22" spans="1:8" ht="45" hidden="1" customHeight="1" x14ac:dyDescent="0.3">
      <c r="A22" s="20">
        <v>20</v>
      </c>
      <c r="B22" s="20" t="s">
        <v>325</v>
      </c>
      <c r="C22" s="19" t="s">
        <v>77</v>
      </c>
      <c r="D22" s="20" t="s">
        <v>196</v>
      </c>
      <c r="E22" s="20" t="s">
        <v>228</v>
      </c>
      <c r="F22" s="21" t="s">
        <v>197</v>
      </c>
      <c r="G22" s="20" t="s">
        <v>333</v>
      </c>
      <c r="H22" s="21" t="s">
        <v>313</v>
      </c>
    </row>
    <row r="23" spans="1:8" ht="45" hidden="1" customHeight="1" x14ac:dyDescent="0.3">
      <c r="A23" s="20">
        <v>21</v>
      </c>
      <c r="B23" s="20" t="s">
        <v>325</v>
      </c>
      <c r="C23" s="19" t="s">
        <v>77</v>
      </c>
      <c r="D23" s="20" t="s">
        <v>199</v>
      </c>
      <c r="E23" s="20" t="s">
        <v>229</v>
      </c>
      <c r="F23" s="21" t="s">
        <v>200</v>
      </c>
      <c r="G23" s="20" t="s">
        <v>334</v>
      </c>
      <c r="H23" s="21" t="s">
        <v>313</v>
      </c>
    </row>
    <row r="24" spans="1:8" ht="57" hidden="1" customHeight="1" x14ac:dyDescent="0.3">
      <c r="A24" s="20">
        <v>22</v>
      </c>
      <c r="B24" s="20" t="s">
        <v>325</v>
      </c>
      <c r="C24" s="19" t="s">
        <v>73</v>
      </c>
      <c r="D24" s="20" t="s">
        <v>202</v>
      </c>
      <c r="E24" s="20" t="s">
        <v>231</v>
      </c>
      <c r="F24" s="21" t="s">
        <v>230</v>
      </c>
      <c r="G24" s="20" t="s">
        <v>335</v>
      </c>
      <c r="H24" s="21" t="s">
        <v>310</v>
      </c>
    </row>
    <row r="25" spans="1:8" ht="45" hidden="1" customHeight="1" x14ac:dyDescent="0.3">
      <c r="A25" s="20">
        <v>23</v>
      </c>
      <c r="B25" s="20" t="s">
        <v>325</v>
      </c>
      <c r="C25" s="19" t="s">
        <v>73</v>
      </c>
      <c r="D25" s="20" t="s">
        <v>204</v>
      </c>
      <c r="E25" s="20" t="s">
        <v>233</v>
      </c>
      <c r="F25" s="21" t="s">
        <v>232</v>
      </c>
      <c r="G25" s="20" t="s">
        <v>336</v>
      </c>
      <c r="H25" s="21" t="s">
        <v>310</v>
      </c>
    </row>
    <row r="26" spans="1:8" ht="57" hidden="1" customHeight="1" x14ac:dyDescent="0.3">
      <c r="A26" s="20">
        <v>24</v>
      </c>
      <c r="B26" s="20" t="s">
        <v>325</v>
      </c>
      <c r="C26" s="19" t="s">
        <v>170</v>
      </c>
      <c r="D26" s="20" t="s">
        <v>207</v>
      </c>
      <c r="E26" s="20" t="s">
        <v>234</v>
      </c>
      <c r="F26" s="21">
        <v>2</v>
      </c>
      <c r="G26" s="20" t="s">
        <v>337</v>
      </c>
      <c r="H26" s="21" t="s">
        <v>308</v>
      </c>
    </row>
    <row r="27" spans="1:8" ht="45" hidden="1" customHeight="1" x14ac:dyDescent="0.3">
      <c r="A27" s="20">
        <v>25</v>
      </c>
      <c r="B27" s="20" t="s">
        <v>325</v>
      </c>
      <c r="C27" s="19" t="s">
        <v>73</v>
      </c>
      <c r="D27" s="20" t="s">
        <v>210</v>
      </c>
      <c r="E27" s="20" t="s">
        <v>236</v>
      </c>
      <c r="F27" s="21" t="s">
        <v>235</v>
      </c>
      <c r="G27" s="20" t="s">
        <v>338</v>
      </c>
      <c r="H27" s="21" t="s">
        <v>310</v>
      </c>
    </row>
    <row r="28" spans="1:8" ht="33.75" hidden="1" customHeight="1" x14ac:dyDescent="0.3">
      <c r="A28" s="20">
        <v>26</v>
      </c>
      <c r="B28" s="20" t="s">
        <v>325</v>
      </c>
      <c r="C28" s="19" t="s">
        <v>61</v>
      </c>
      <c r="D28" s="20" t="s">
        <v>213</v>
      </c>
      <c r="E28" s="20" t="s">
        <v>238</v>
      </c>
      <c r="F28" s="21" t="s">
        <v>237</v>
      </c>
      <c r="G28" s="20" t="s">
        <v>339</v>
      </c>
      <c r="H28" s="21" t="s">
        <v>313</v>
      </c>
    </row>
    <row r="29" spans="1:8" ht="45" hidden="1" customHeight="1" x14ac:dyDescent="0.3">
      <c r="A29" s="20">
        <v>27</v>
      </c>
      <c r="B29" s="20" t="s">
        <v>325</v>
      </c>
      <c r="C29" s="19" t="s">
        <v>77</v>
      </c>
      <c r="D29" s="20" t="s">
        <v>216</v>
      </c>
      <c r="E29" s="20" t="s">
        <v>240</v>
      </c>
      <c r="F29" s="21" t="s">
        <v>239</v>
      </c>
      <c r="G29" s="20" t="s">
        <v>340</v>
      </c>
      <c r="H29" s="21" t="s">
        <v>313</v>
      </c>
    </row>
    <row r="30" spans="1:8" ht="33.75" hidden="1" customHeight="1" x14ac:dyDescent="0.3">
      <c r="A30" s="20">
        <v>28</v>
      </c>
      <c r="B30" s="20" t="s">
        <v>325</v>
      </c>
      <c r="C30" s="19" t="s">
        <v>77</v>
      </c>
      <c r="D30" s="20" t="s">
        <v>219</v>
      </c>
      <c r="E30" s="20" t="s">
        <v>242</v>
      </c>
      <c r="F30" s="21" t="s">
        <v>241</v>
      </c>
      <c r="G30" s="20" t="s">
        <v>341</v>
      </c>
      <c r="H30" s="21" t="s">
        <v>310</v>
      </c>
    </row>
    <row r="31" spans="1:8" ht="22.5" hidden="1" customHeight="1" x14ac:dyDescent="0.3">
      <c r="A31" s="20">
        <v>29</v>
      </c>
      <c r="B31" s="20" t="s">
        <v>342</v>
      </c>
      <c r="C31" s="19" t="s">
        <v>95</v>
      </c>
      <c r="D31" s="20" t="s">
        <v>178</v>
      </c>
      <c r="E31" s="20" t="s">
        <v>243</v>
      </c>
      <c r="F31" s="21" t="s">
        <v>180</v>
      </c>
      <c r="G31" s="20" t="s">
        <v>343</v>
      </c>
      <c r="H31" s="21" t="s">
        <v>313</v>
      </c>
    </row>
    <row r="32" spans="1:8" ht="33.75" hidden="1" customHeight="1" x14ac:dyDescent="0.3">
      <c r="A32" s="20">
        <v>30</v>
      </c>
      <c r="B32" s="20" t="s">
        <v>342</v>
      </c>
      <c r="C32" s="19" t="s">
        <v>95</v>
      </c>
      <c r="D32" s="20" t="s">
        <v>183</v>
      </c>
      <c r="E32" s="20" t="s">
        <v>245</v>
      </c>
      <c r="F32" s="21" t="s">
        <v>244</v>
      </c>
      <c r="G32" s="20" t="s">
        <v>344</v>
      </c>
      <c r="H32" s="21" t="s">
        <v>313</v>
      </c>
    </row>
    <row r="33" spans="1:8" ht="33.75" hidden="1" customHeight="1" x14ac:dyDescent="0.3">
      <c r="A33" s="20">
        <v>31</v>
      </c>
      <c r="B33" s="20" t="s">
        <v>342</v>
      </c>
      <c r="C33" s="19" t="s">
        <v>95</v>
      </c>
      <c r="D33" s="20" t="s">
        <v>185</v>
      </c>
      <c r="E33" s="20" t="s">
        <v>246</v>
      </c>
      <c r="F33" s="21" t="s">
        <v>225</v>
      </c>
      <c r="G33" s="20" t="s">
        <v>345</v>
      </c>
      <c r="H33" s="21" t="s">
        <v>313</v>
      </c>
    </row>
    <row r="34" spans="1:8" ht="33.75" hidden="1" customHeight="1" x14ac:dyDescent="0.3">
      <c r="A34" s="20">
        <v>32</v>
      </c>
      <c r="B34" s="20" t="s">
        <v>342</v>
      </c>
      <c r="C34" s="19" t="s">
        <v>85</v>
      </c>
      <c r="D34" s="20" t="s">
        <v>188</v>
      </c>
      <c r="E34" s="20" t="s">
        <v>248</v>
      </c>
      <c r="F34" s="21" t="s">
        <v>247</v>
      </c>
      <c r="G34" s="20" t="s">
        <v>346</v>
      </c>
      <c r="H34" s="21" t="s">
        <v>313</v>
      </c>
    </row>
    <row r="35" spans="1:8" ht="22.5" hidden="1" customHeight="1" x14ac:dyDescent="0.3">
      <c r="A35" s="20">
        <v>33</v>
      </c>
      <c r="B35" s="20" t="s">
        <v>342</v>
      </c>
      <c r="C35" s="19" t="s">
        <v>95</v>
      </c>
      <c r="D35" s="20" t="s">
        <v>192</v>
      </c>
      <c r="E35" s="20" t="s">
        <v>249</v>
      </c>
      <c r="F35" s="21" t="s">
        <v>222</v>
      </c>
      <c r="G35" s="20" t="s">
        <v>347</v>
      </c>
      <c r="H35" s="21" t="s">
        <v>310</v>
      </c>
    </row>
    <row r="36" spans="1:8" ht="90.75" hidden="1" customHeight="1" x14ac:dyDescent="0.3">
      <c r="A36" s="20">
        <v>34</v>
      </c>
      <c r="B36" s="20" t="s">
        <v>342</v>
      </c>
      <c r="C36" s="19" t="s">
        <v>170</v>
      </c>
      <c r="D36" s="20" t="s">
        <v>196</v>
      </c>
      <c r="E36" s="20" t="s">
        <v>348</v>
      </c>
      <c r="F36" s="21" t="s">
        <v>264</v>
      </c>
      <c r="G36" s="20" t="s">
        <v>349</v>
      </c>
      <c r="H36" s="21" t="s">
        <v>308</v>
      </c>
    </row>
    <row r="37" spans="1:8" ht="45" hidden="1" customHeight="1" x14ac:dyDescent="0.3">
      <c r="A37" s="20">
        <v>35</v>
      </c>
      <c r="B37" s="20" t="s">
        <v>342</v>
      </c>
      <c r="C37" s="19" t="s">
        <v>95</v>
      </c>
      <c r="D37" s="20" t="s">
        <v>199</v>
      </c>
      <c r="E37" s="20" t="s">
        <v>250</v>
      </c>
      <c r="F37" s="21" t="s">
        <v>200</v>
      </c>
      <c r="G37" s="20" t="s">
        <v>350</v>
      </c>
      <c r="H37" s="21" t="s">
        <v>313</v>
      </c>
    </row>
    <row r="38" spans="1:8" ht="45" hidden="1" customHeight="1" x14ac:dyDescent="0.3">
      <c r="A38" s="20">
        <v>36</v>
      </c>
      <c r="B38" s="20" t="s">
        <v>342</v>
      </c>
      <c r="C38" s="19" t="s">
        <v>95</v>
      </c>
      <c r="D38" s="20" t="s">
        <v>202</v>
      </c>
      <c r="E38" s="20" t="s">
        <v>252</v>
      </c>
      <c r="F38" s="21" t="s">
        <v>251</v>
      </c>
      <c r="G38" s="20" t="s">
        <v>351</v>
      </c>
      <c r="H38" s="21" t="s">
        <v>313</v>
      </c>
    </row>
    <row r="39" spans="1:8" ht="22.5" hidden="1" customHeight="1" x14ac:dyDescent="0.3">
      <c r="A39" s="20">
        <v>37</v>
      </c>
      <c r="B39" s="20" t="s">
        <v>342</v>
      </c>
      <c r="C39" s="19" t="s">
        <v>85</v>
      </c>
      <c r="D39" s="20" t="s">
        <v>204</v>
      </c>
      <c r="E39" s="20" t="s">
        <v>253</v>
      </c>
      <c r="F39" s="21" t="s">
        <v>205</v>
      </c>
      <c r="G39" s="20" t="s">
        <v>352</v>
      </c>
      <c r="H39" s="21" t="s">
        <v>310</v>
      </c>
    </row>
    <row r="40" spans="1:8" ht="45" hidden="1" customHeight="1" x14ac:dyDescent="0.3">
      <c r="A40" s="20">
        <v>38</v>
      </c>
      <c r="B40" s="20" t="s">
        <v>342</v>
      </c>
      <c r="C40" s="19" t="s">
        <v>170</v>
      </c>
      <c r="D40" s="20" t="s">
        <v>207</v>
      </c>
      <c r="E40" s="20" t="s">
        <v>353</v>
      </c>
      <c r="F40" s="21">
        <v>2</v>
      </c>
      <c r="G40" s="20" t="s">
        <v>354</v>
      </c>
      <c r="H40" s="21" t="s">
        <v>308</v>
      </c>
    </row>
    <row r="41" spans="1:8" ht="33.75" hidden="1" customHeight="1" x14ac:dyDescent="0.3">
      <c r="A41" s="20">
        <v>39</v>
      </c>
      <c r="B41" s="20" t="s">
        <v>342</v>
      </c>
      <c r="C41" s="19" t="s">
        <v>95</v>
      </c>
      <c r="D41" s="20" t="s">
        <v>210</v>
      </c>
      <c r="E41" s="20" t="s">
        <v>255</v>
      </c>
      <c r="F41" s="21" t="s">
        <v>254</v>
      </c>
      <c r="G41" s="20" t="s">
        <v>355</v>
      </c>
      <c r="H41" s="21" t="s">
        <v>310</v>
      </c>
    </row>
    <row r="42" spans="1:8" ht="45" hidden="1" customHeight="1" x14ac:dyDescent="0.3">
      <c r="A42" s="20">
        <v>40</v>
      </c>
      <c r="B42" s="20" t="s">
        <v>342</v>
      </c>
      <c r="C42" s="19" t="s">
        <v>85</v>
      </c>
      <c r="D42" s="20" t="s">
        <v>213</v>
      </c>
      <c r="E42" s="20" t="s">
        <v>257</v>
      </c>
      <c r="F42" s="21" t="s">
        <v>256</v>
      </c>
      <c r="G42" s="20" t="s">
        <v>356</v>
      </c>
      <c r="H42" s="21" t="s">
        <v>310</v>
      </c>
    </row>
    <row r="43" spans="1:8" ht="79.5" hidden="1" customHeight="1" x14ac:dyDescent="0.3">
      <c r="A43" s="20">
        <v>41</v>
      </c>
      <c r="B43" s="20" t="s">
        <v>342</v>
      </c>
      <c r="C43" s="19" t="s">
        <v>170</v>
      </c>
      <c r="D43" s="20" t="s">
        <v>216</v>
      </c>
      <c r="E43" s="20" t="s">
        <v>357</v>
      </c>
      <c r="F43" s="21" t="s">
        <v>217</v>
      </c>
      <c r="G43" s="20" t="s">
        <v>358</v>
      </c>
      <c r="H43" s="21" t="s">
        <v>308</v>
      </c>
    </row>
    <row r="44" spans="1:8" ht="33.75" hidden="1" customHeight="1" x14ac:dyDescent="0.3">
      <c r="A44" s="20">
        <v>42</v>
      </c>
      <c r="B44" s="20" t="s">
        <v>342</v>
      </c>
      <c r="C44" s="19" t="s">
        <v>85</v>
      </c>
      <c r="D44" s="20" t="s">
        <v>219</v>
      </c>
      <c r="E44" s="20" t="s">
        <v>258</v>
      </c>
      <c r="F44" s="21" t="s">
        <v>241</v>
      </c>
      <c r="G44" s="20" t="s">
        <v>359</v>
      </c>
      <c r="H44" s="21" t="s">
        <v>313</v>
      </c>
    </row>
    <row r="45" spans="1:8" ht="114" hidden="1" customHeight="1" x14ac:dyDescent="0.3">
      <c r="A45" s="20">
        <v>43</v>
      </c>
      <c r="B45" s="20" t="s">
        <v>360</v>
      </c>
      <c r="C45" s="19" t="s">
        <v>170</v>
      </c>
      <c r="D45" s="20" t="s">
        <v>178</v>
      </c>
      <c r="E45" s="20" t="s">
        <v>259</v>
      </c>
      <c r="F45" s="21" t="s">
        <v>180</v>
      </c>
      <c r="G45" s="20" t="s">
        <v>361</v>
      </c>
      <c r="H45" s="21" t="s">
        <v>308</v>
      </c>
    </row>
    <row r="46" spans="1:8" ht="68.25" hidden="1" customHeight="1" x14ac:dyDescent="0.3">
      <c r="A46" s="20">
        <v>44</v>
      </c>
      <c r="B46" s="20" t="s">
        <v>360</v>
      </c>
      <c r="C46" s="19" t="s">
        <v>112</v>
      </c>
      <c r="D46" s="20" t="s">
        <v>183</v>
      </c>
      <c r="E46" s="20" t="s">
        <v>260</v>
      </c>
      <c r="F46" s="21" t="s">
        <v>244</v>
      </c>
      <c r="G46" s="20" t="s">
        <v>362</v>
      </c>
      <c r="H46" s="21" t="s">
        <v>313</v>
      </c>
    </row>
    <row r="47" spans="1:8" ht="33.75" hidden="1" customHeight="1" x14ac:dyDescent="0.3">
      <c r="A47" s="20">
        <v>45</v>
      </c>
      <c r="B47" s="20" t="s">
        <v>360</v>
      </c>
      <c r="C47" s="19" t="s">
        <v>170</v>
      </c>
      <c r="D47" s="20" t="s">
        <v>185</v>
      </c>
      <c r="E47" s="20" t="s">
        <v>261</v>
      </c>
      <c r="F47" s="21" t="s">
        <v>225</v>
      </c>
      <c r="G47" s="20" t="s">
        <v>363</v>
      </c>
      <c r="H47" s="21" t="s">
        <v>308</v>
      </c>
    </row>
    <row r="48" spans="1:8" ht="57" hidden="1" customHeight="1" x14ac:dyDescent="0.3">
      <c r="A48" s="20">
        <v>46</v>
      </c>
      <c r="B48" s="20" t="s">
        <v>360</v>
      </c>
      <c r="C48" s="19" t="s">
        <v>170</v>
      </c>
      <c r="D48" s="20" t="s">
        <v>188</v>
      </c>
      <c r="E48" s="20" t="s">
        <v>364</v>
      </c>
      <c r="F48" s="21" t="s">
        <v>330</v>
      </c>
      <c r="G48" s="20" t="s">
        <v>365</v>
      </c>
      <c r="H48" s="21" t="s">
        <v>308</v>
      </c>
    </row>
    <row r="49" spans="1:8" ht="45" hidden="1" customHeight="1" x14ac:dyDescent="0.3">
      <c r="A49" s="20">
        <v>47</v>
      </c>
      <c r="B49" s="20" t="s">
        <v>360</v>
      </c>
      <c r="C49" s="19" t="s">
        <v>109</v>
      </c>
      <c r="D49" s="20" t="s">
        <v>192</v>
      </c>
      <c r="E49" s="20" t="s">
        <v>263</v>
      </c>
      <c r="F49" s="21" t="s">
        <v>262</v>
      </c>
      <c r="G49" s="20" t="s">
        <v>366</v>
      </c>
      <c r="H49" s="21" t="s">
        <v>310</v>
      </c>
    </row>
    <row r="50" spans="1:8" ht="68.25" hidden="1" customHeight="1" x14ac:dyDescent="0.3">
      <c r="A50" s="20">
        <v>48</v>
      </c>
      <c r="B50" s="20" t="s">
        <v>360</v>
      </c>
      <c r="C50" s="19" t="s">
        <v>170</v>
      </c>
      <c r="D50" s="20" t="s">
        <v>196</v>
      </c>
      <c r="E50" s="20" t="s">
        <v>265</v>
      </c>
      <c r="F50" s="21" t="s">
        <v>264</v>
      </c>
      <c r="G50" s="20" t="s">
        <v>367</v>
      </c>
      <c r="H50" s="21" t="s">
        <v>308</v>
      </c>
    </row>
    <row r="51" spans="1:8" ht="33.75" hidden="1" customHeight="1" x14ac:dyDescent="0.3">
      <c r="A51" s="20">
        <v>49</v>
      </c>
      <c r="B51" s="20" t="s">
        <v>360</v>
      </c>
      <c r="C51" s="19" t="s">
        <v>112</v>
      </c>
      <c r="D51" s="20" t="s">
        <v>199</v>
      </c>
      <c r="E51" s="20" t="s">
        <v>368</v>
      </c>
      <c r="F51" s="21" t="s">
        <v>200</v>
      </c>
      <c r="G51" s="20" t="s">
        <v>369</v>
      </c>
      <c r="H51" s="21" t="s">
        <v>313</v>
      </c>
    </row>
    <row r="52" spans="1:8" ht="33.75" hidden="1" customHeight="1" x14ac:dyDescent="0.3">
      <c r="A52" s="20">
        <v>50</v>
      </c>
      <c r="B52" s="20" t="s">
        <v>360</v>
      </c>
      <c r="C52" s="19" t="s">
        <v>109</v>
      </c>
      <c r="D52" s="20" t="s">
        <v>202</v>
      </c>
      <c r="E52" s="20" t="s">
        <v>266</v>
      </c>
      <c r="F52" s="21" t="s">
        <v>230</v>
      </c>
      <c r="G52" s="20" t="s">
        <v>370</v>
      </c>
      <c r="H52" s="21" t="s">
        <v>313</v>
      </c>
    </row>
    <row r="53" spans="1:8" ht="45" hidden="1" customHeight="1" x14ac:dyDescent="0.3">
      <c r="A53" s="20">
        <v>51</v>
      </c>
      <c r="B53" s="20" t="s">
        <v>360</v>
      </c>
      <c r="C53" s="19" t="s">
        <v>109</v>
      </c>
      <c r="D53" s="20" t="s">
        <v>204</v>
      </c>
      <c r="E53" s="20" t="s">
        <v>267</v>
      </c>
      <c r="F53" s="21" t="s">
        <v>205</v>
      </c>
      <c r="G53" s="20" t="s">
        <v>371</v>
      </c>
      <c r="H53" s="21" t="s">
        <v>310</v>
      </c>
    </row>
    <row r="54" spans="1:8" ht="45" hidden="1" customHeight="1" x14ac:dyDescent="0.3">
      <c r="A54" s="20">
        <v>52</v>
      </c>
      <c r="B54" s="20" t="s">
        <v>360</v>
      </c>
      <c r="C54" s="19" t="s">
        <v>170</v>
      </c>
      <c r="D54" s="20" t="s">
        <v>207</v>
      </c>
      <c r="E54" s="20" t="s">
        <v>372</v>
      </c>
      <c r="F54" s="21">
        <v>2</v>
      </c>
      <c r="G54" s="20" t="s">
        <v>373</v>
      </c>
      <c r="H54" s="21" t="s">
        <v>308</v>
      </c>
    </row>
    <row r="55" spans="1:8" ht="45" hidden="1" customHeight="1" x14ac:dyDescent="0.3">
      <c r="A55" s="20">
        <v>53</v>
      </c>
      <c r="B55" s="20" t="s">
        <v>360</v>
      </c>
      <c r="C55" s="19" t="s">
        <v>109</v>
      </c>
      <c r="D55" s="20" t="s">
        <v>210</v>
      </c>
      <c r="E55" s="20" t="s">
        <v>268</v>
      </c>
      <c r="F55" s="21" t="s">
        <v>254</v>
      </c>
      <c r="G55" s="20" t="s">
        <v>374</v>
      </c>
      <c r="H55" s="21" t="s">
        <v>310</v>
      </c>
    </row>
    <row r="56" spans="1:8" ht="57" hidden="1" customHeight="1" x14ac:dyDescent="0.3">
      <c r="A56" s="20">
        <v>54</v>
      </c>
      <c r="B56" s="20" t="s">
        <v>360</v>
      </c>
      <c r="C56" s="19" t="s">
        <v>170</v>
      </c>
      <c r="D56" s="20" t="s">
        <v>213</v>
      </c>
      <c r="E56" s="20" t="s">
        <v>269</v>
      </c>
      <c r="F56" s="21" t="s">
        <v>180</v>
      </c>
      <c r="G56" s="20" t="s">
        <v>375</v>
      </c>
      <c r="H56" s="21" t="s">
        <v>308</v>
      </c>
    </row>
    <row r="57" spans="1:8" ht="68.25" hidden="1" customHeight="1" x14ac:dyDescent="0.3">
      <c r="A57" s="20">
        <v>55</v>
      </c>
      <c r="B57" s="20" t="s">
        <v>360</v>
      </c>
      <c r="C57" s="19" t="s">
        <v>170</v>
      </c>
      <c r="D57" s="20" t="s">
        <v>216</v>
      </c>
      <c r="E57" s="20" t="s">
        <v>270</v>
      </c>
      <c r="F57" s="21" t="s">
        <v>217</v>
      </c>
      <c r="G57" s="20" t="s">
        <v>376</v>
      </c>
      <c r="H57" s="21" t="s">
        <v>308</v>
      </c>
    </row>
    <row r="58" spans="1:8" ht="45" hidden="1" customHeight="1" x14ac:dyDescent="0.3">
      <c r="A58" s="20">
        <v>56</v>
      </c>
      <c r="B58" s="20" t="s">
        <v>360</v>
      </c>
      <c r="C58" s="19" t="s">
        <v>112</v>
      </c>
      <c r="D58" s="20" t="s">
        <v>219</v>
      </c>
      <c r="E58" s="20" t="s">
        <v>271</v>
      </c>
      <c r="F58" s="21" t="s">
        <v>241</v>
      </c>
      <c r="G58" s="20" t="s">
        <v>377</v>
      </c>
      <c r="H58" s="21" t="s">
        <v>313</v>
      </c>
    </row>
    <row r="59" spans="1:8" ht="33.75" hidden="1" customHeight="1" x14ac:dyDescent="0.3">
      <c r="A59" s="20">
        <v>57</v>
      </c>
      <c r="B59" s="20" t="s">
        <v>378</v>
      </c>
      <c r="C59" s="19" t="s">
        <v>135</v>
      </c>
      <c r="D59" s="20" t="s">
        <v>178</v>
      </c>
      <c r="E59" s="20" t="s">
        <v>272</v>
      </c>
      <c r="F59" s="21" t="s">
        <v>180</v>
      </c>
      <c r="G59" s="20" t="s">
        <v>379</v>
      </c>
      <c r="H59" s="21" t="s">
        <v>313</v>
      </c>
    </row>
    <row r="60" spans="1:8" ht="33.75" hidden="1" customHeight="1" x14ac:dyDescent="0.3">
      <c r="A60" s="20">
        <v>58</v>
      </c>
      <c r="B60" s="20" t="s">
        <v>378</v>
      </c>
      <c r="C60" s="19" t="s">
        <v>127</v>
      </c>
      <c r="D60" s="20" t="s">
        <v>183</v>
      </c>
      <c r="E60" s="20" t="s">
        <v>273</v>
      </c>
      <c r="F60" s="21" t="s">
        <v>180</v>
      </c>
      <c r="G60" s="20" t="s">
        <v>380</v>
      </c>
      <c r="H60" s="21" t="s">
        <v>313</v>
      </c>
    </row>
    <row r="61" spans="1:8" ht="33.75" hidden="1" customHeight="1" x14ac:dyDescent="0.3">
      <c r="A61" s="20">
        <v>59</v>
      </c>
      <c r="B61" s="20" t="s">
        <v>378</v>
      </c>
      <c r="C61" s="19" t="s">
        <v>119</v>
      </c>
      <c r="D61" s="20" t="s">
        <v>185</v>
      </c>
      <c r="E61" s="20" t="s">
        <v>274</v>
      </c>
      <c r="F61" s="21" t="s">
        <v>225</v>
      </c>
      <c r="G61" s="20" t="s">
        <v>381</v>
      </c>
      <c r="H61" s="21" t="s">
        <v>313</v>
      </c>
    </row>
    <row r="62" spans="1:8" ht="45" hidden="1" customHeight="1" x14ac:dyDescent="0.3">
      <c r="A62" s="20">
        <v>60</v>
      </c>
      <c r="B62" s="20" t="s">
        <v>378</v>
      </c>
      <c r="C62" s="19" t="s">
        <v>127</v>
      </c>
      <c r="D62" s="20" t="s">
        <v>188</v>
      </c>
      <c r="E62" s="20" t="s">
        <v>276</v>
      </c>
      <c r="F62" s="21" t="s">
        <v>275</v>
      </c>
      <c r="G62" s="20" t="s">
        <v>382</v>
      </c>
      <c r="H62" s="21" t="s">
        <v>313</v>
      </c>
    </row>
    <row r="63" spans="1:8" ht="33.75" hidden="1" customHeight="1" x14ac:dyDescent="0.3">
      <c r="A63" s="20">
        <v>61</v>
      </c>
      <c r="B63" s="20" t="s">
        <v>378</v>
      </c>
      <c r="C63" s="19" t="s">
        <v>127</v>
      </c>
      <c r="D63" s="20" t="s">
        <v>192</v>
      </c>
      <c r="E63" s="20" t="s">
        <v>278</v>
      </c>
      <c r="F63" s="21" t="s">
        <v>277</v>
      </c>
      <c r="G63" s="20" t="s">
        <v>383</v>
      </c>
      <c r="H63" s="21" t="s">
        <v>310</v>
      </c>
    </row>
    <row r="64" spans="1:8" ht="68.25" hidden="1" customHeight="1" x14ac:dyDescent="0.3">
      <c r="A64" s="20">
        <v>62</v>
      </c>
      <c r="B64" s="20" t="s">
        <v>378</v>
      </c>
      <c r="C64" s="19" t="s">
        <v>170</v>
      </c>
      <c r="D64" s="20" t="s">
        <v>196</v>
      </c>
      <c r="E64" s="20" t="s">
        <v>384</v>
      </c>
      <c r="F64" s="21" t="s">
        <v>264</v>
      </c>
      <c r="G64" s="20" t="s">
        <v>385</v>
      </c>
      <c r="H64" s="21" t="s">
        <v>308</v>
      </c>
    </row>
    <row r="65" spans="1:8" ht="33.75" hidden="1" customHeight="1" x14ac:dyDescent="0.3">
      <c r="A65" s="20">
        <v>63</v>
      </c>
      <c r="B65" s="20" t="s">
        <v>378</v>
      </c>
      <c r="C65" s="19" t="s">
        <v>119</v>
      </c>
      <c r="D65" s="20" t="s">
        <v>199</v>
      </c>
      <c r="E65" s="20" t="s">
        <v>280</v>
      </c>
      <c r="F65" s="21" t="s">
        <v>279</v>
      </c>
      <c r="G65" s="20" t="s">
        <v>386</v>
      </c>
      <c r="H65" s="21" t="s">
        <v>310</v>
      </c>
    </row>
    <row r="66" spans="1:8" ht="45" hidden="1" customHeight="1" x14ac:dyDescent="0.3">
      <c r="A66" s="20">
        <v>64</v>
      </c>
      <c r="B66" s="20" t="s">
        <v>378</v>
      </c>
      <c r="C66" s="19" t="s">
        <v>119</v>
      </c>
      <c r="D66" s="20" t="s">
        <v>202</v>
      </c>
      <c r="E66" s="20" t="s">
        <v>281</v>
      </c>
      <c r="F66" s="21" t="s">
        <v>230</v>
      </c>
      <c r="G66" s="20" t="s">
        <v>387</v>
      </c>
      <c r="H66" s="21" t="s">
        <v>313</v>
      </c>
    </row>
    <row r="67" spans="1:8" ht="22.5" hidden="1" customHeight="1" x14ac:dyDescent="0.3">
      <c r="A67" s="20">
        <v>65</v>
      </c>
      <c r="B67" s="20" t="s">
        <v>378</v>
      </c>
      <c r="C67" s="19" t="s">
        <v>127</v>
      </c>
      <c r="D67" s="20" t="s">
        <v>204</v>
      </c>
      <c r="E67" s="20" t="s">
        <v>283</v>
      </c>
      <c r="F67" s="21" t="s">
        <v>282</v>
      </c>
      <c r="G67" s="20" t="s">
        <v>388</v>
      </c>
      <c r="H67" s="21" t="s">
        <v>313</v>
      </c>
    </row>
    <row r="68" spans="1:8" ht="45" hidden="1" customHeight="1" x14ac:dyDescent="0.3">
      <c r="A68" s="20">
        <v>66</v>
      </c>
      <c r="B68" s="20" t="s">
        <v>378</v>
      </c>
      <c r="C68" s="19" t="s">
        <v>119</v>
      </c>
      <c r="D68" s="20" t="s">
        <v>207</v>
      </c>
      <c r="E68" s="20" t="s">
        <v>284</v>
      </c>
      <c r="F68" s="21">
        <v>9</v>
      </c>
      <c r="G68" s="20" t="s">
        <v>389</v>
      </c>
      <c r="H68" s="21" t="s">
        <v>310</v>
      </c>
    </row>
    <row r="69" spans="1:8" ht="33.75" hidden="1" customHeight="1" x14ac:dyDescent="0.3">
      <c r="A69" s="20">
        <v>67</v>
      </c>
      <c r="B69" s="20" t="s">
        <v>378</v>
      </c>
      <c r="C69" s="19" t="s">
        <v>127</v>
      </c>
      <c r="D69" s="20" t="s">
        <v>210</v>
      </c>
      <c r="E69" s="20" t="s">
        <v>285</v>
      </c>
      <c r="F69" s="21" t="s">
        <v>262</v>
      </c>
      <c r="G69" s="20" t="s">
        <v>390</v>
      </c>
      <c r="H69" s="21" t="s">
        <v>310</v>
      </c>
    </row>
    <row r="70" spans="1:8" ht="57" hidden="1" customHeight="1" x14ac:dyDescent="0.3">
      <c r="A70" s="20">
        <v>68</v>
      </c>
      <c r="B70" s="20" t="s">
        <v>378</v>
      </c>
      <c r="C70" s="19" t="s">
        <v>127</v>
      </c>
      <c r="D70" s="20" t="s">
        <v>213</v>
      </c>
      <c r="E70" s="20" t="s">
        <v>391</v>
      </c>
      <c r="F70" s="21" t="s">
        <v>237</v>
      </c>
      <c r="G70" s="20" t="s">
        <v>392</v>
      </c>
      <c r="H70" s="21" t="s">
        <v>313</v>
      </c>
    </row>
    <row r="71" spans="1:8" ht="57" hidden="1" customHeight="1" x14ac:dyDescent="0.3">
      <c r="A71" s="20">
        <v>69</v>
      </c>
      <c r="B71" s="20" t="s">
        <v>378</v>
      </c>
      <c r="C71" s="19" t="s">
        <v>170</v>
      </c>
      <c r="D71" s="20" t="s">
        <v>216</v>
      </c>
      <c r="E71" s="20" t="s">
        <v>393</v>
      </c>
      <c r="F71" s="21" t="s">
        <v>217</v>
      </c>
      <c r="G71" s="20" t="s">
        <v>394</v>
      </c>
      <c r="H71" s="21" t="s">
        <v>308</v>
      </c>
    </row>
    <row r="72" spans="1:8" ht="33.75" hidden="1" customHeight="1" x14ac:dyDescent="0.3">
      <c r="A72" s="20">
        <v>70</v>
      </c>
      <c r="B72" s="20" t="s">
        <v>378</v>
      </c>
      <c r="C72" s="19" t="s">
        <v>135</v>
      </c>
      <c r="D72" s="20" t="s">
        <v>219</v>
      </c>
      <c r="E72" s="20" t="s">
        <v>287</v>
      </c>
      <c r="F72" s="21" t="s">
        <v>241</v>
      </c>
      <c r="G72" s="20" t="s">
        <v>395</v>
      </c>
      <c r="H72" s="21" t="s">
        <v>313</v>
      </c>
    </row>
    <row r="73" spans="1:8" ht="102" customHeight="1" x14ac:dyDescent="0.3">
      <c r="A73" s="20">
        <v>71</v>
      </c>
      <c r="B73" s="20" t="s">
        <v>396</v>
      </c>
      <c r="C73" s="19" t="s">
        <v>170</v>
      </c>
      <c r="D73" s="20" t="s">
        <v>178</v>
      </c>
      <c r="E73" s="20" t="s">
        <v>288</v>
      </c>
      <c r="F73" s="21" t="s">
        <v>180</v>
      </c>
      <c r="G73" s="20" t="s">
        <v>397</v>
      </c>
      <c r="H73" s="21" t="s">
        <v>308</v>
      </c>
    </row>
    <row r="74" spans="1:8" ht="45" customHeight="1" x14ac:dyDescent="0.3">
      <c r="A74" s="20">
        <v>72</v>
      </c>
      <c r="B74" s="20" t="s">
        <v>396</v>
      </c>
      <c r="C74" s="19" t="s">
        <v>166</v>
      </c>
      <c r="D74" s="20" t="s">
        <v>183</v>
      </c>
      <c r="E74" s="20" t="s">
        <v>398</v>
      </c>
      <c r="F74" s="21" t="s">
        <v>244</v>
      </c>
      <c r="G74" s="20" t="s">
        <v>399</v>
      </c>
      <c r="H74" s="21" t="s">
        <v>313</v>
      </c>
    </row>
    <row r="75" spans="1:8" ht="33.75" customHeight="1" x14ac:dyDescent="0.3">
      <c r="A75" s="20">
        <v>73</v>
      </c>
      <c r="B75" s="20" t="s">
        <v>396</v>
      </c>
      <c r="C75" s="19" t="s">
        <v>170</v>
      </c>
      <c r="D75" s="20" t="s">
        <v>185</v>
      </c>
      <c r="E75" s="20" t="s">
        <v>289</v>
      </c>
      <c r="F75" s="21" t="s">
        <v>186</v>
      </c>
      <c r="G75" s="20" t="s">
        <v>400</v>
      </c>
      <c r="H75" s="21" t="s">
        <v>308</v>
      </c>
    </row>
    <row r="76" spans="1:8" ht="57" customHeight="1" x14ac:dyDescent="0.3">
      <c r="A76" s="20">
        <v>74</v>
      </c>
      <c r="B76" s="20" t="s">
        <v>396</v>
      </c>
      <c r="C76" s="19" t="s">
        <v>170</v>
      </c>
      <c r="D76" s="20" t="s">
        <v>188</v>
      </c>
      <c r="E76" s="20" t="s">
        <v>401</v>
      </c>
      <c r="F76" s="21" t="s">
        <v>330</v>
      </c>
      <c r="G76" s="20" t="s">
        <v>402</v>
      </c>
      <c r="H76" s="21" t="s">
        <v>308</v>
      </c>
    </row>
    <row r="77" spans="1:8" ht="45" customHeight="1" x14ac:dyDescent="0.3">
      <c r="A77" s="20">
        <v>75</v>
      </c>
      <c r="B77" s="20" t="s">
        <v>396</v>
      </c>
      <c r="C77" s="19" t="s">
        <v>166</v>
      </c>
      <c r="D77" s="20" t="s">
        <v>192</v>
      </c>
      <c r="E77" s="20" t="s">
        <v>291</v>
      </c>
      <c r="F77" s="21" t="s">
        <v>290</v>
      </c>
      <c r="G77" s="20" t="s">
        <v>403</v>
      </c>
      <c r="H77" s="21" t="s">
        <v>310</v>
      </c>
    </row>
    <row r="78" spans="1:8" ht="57" customHeight="1" x14ac:dyDescent="0.3">
      <c r="A78" s="20">
        <v>76</v>
      </c>
      <c r="B78" s="20" t="s">
        <v>396</v>
      </c>
      <c r="C78" s="19" t="s">
        <v>166</v>
      </c>
      <c r="D78" s="20" t="s">
        <v>196</v>
      </c>
      <c r="E78" s="20" t="s">
        <v>404</v>
      </c>
      <c r="F78" s="21" t="s">
        <v>264</v>
      </c>
      <c r="G78" s="20" t="s">
        <v>405</v>
      </c>
      <c r="H78" s="21" t="s">
        <v>310</v>
      </c>
    </row>
    <row r="79" spans="1:8" ht="33.75" customHeight="1" x14ac:dyDescent="0.3">
      <c r="A79" s="20">
        <v>77</v>
      </c>
      <c r="B79" s="20" t="s">
        <v>396</v>
      </c>
      <c r="C79" s="19" t="s">
        <v>170</v>
      </c>
      <c r="D79" s="20" t="s">
        <v>199</v>
      </c>
      <c r="E79" s="20" t="s">
        <v>293</v>
      </c>
      <c r="F79" s="21" t="s">
        <v>292</v>
      </c>
      <c r="G79" s="20" t="s">
        <v>406</v>
      </c>
      <c r="H79" s="21" t="s">
        <v>308</v>
      </c>
    </row>
    <row r="80" spans="1:8" ht="88.2" customHeight="1" x14ac:dyDescent="0.3">
      <c r="A80" s="20">
        <v>78</v>
      </c>
      <c r="B80" s="20" t="s">
        <v>396</v>
      </c>
      <c r="C80" s="19" t="s">
        <v>142</v>
      </c>
      <c r="D80" s="20" t="s">
        <v>202</v>
      </c>
      <c r="E80" s="20" t="s">
        <v>294</v>
      </c>
      <c r="F80" s="21" t="s">
        <v>230</v>
      </c>
      <c r="G80" s="20" t="s">
        <v>407</v>
      </c>
      <c r="H80" s="21" t="s">
        <v>313</v>
      </c>
    </row>
    <row r="81" spans="1:8" ht="108.6" customHeight="1" x14ac:dyDescent="0.3">
      <c r="A81" s="20">
        <v>79</v>
      </c>
      <c r="B81" s="20" t="s">
        <v>396</v>
      </c>
      <c r="C81" s="19" t="s">
        <v>142</v>
      </c>
      <c r="D81" s="20" t="s">
        <v>204</v>
      </c>
      <c r="E81" s="20" t="s">
        <v>295</v>
      </c>
      <c r="F81" s="21" t="s">
        <v>205</v>
      </c>
      <c r="G81" s="20" t="s">
        <v>408</v>
      </c>
      <c r="H81" s="21" t="s">
        <v>313</v>
      </c>
    </row>
    <row r="82" spans="1:8" ht="49.2" customHeight="1" x14ac:dyDescent="0.3">
      <c r="A82" s="20">
        <v>80</v>
      </c>
      <c r="B82" s="20" t="s">
        <v>396</v>
      </c>
      <c r="C82" s="19" t="s">
        <v>166</v>
      </c>
      <c r="D82" s="20" t="s">
        <v>207</v>
      </c>
      <c r="E82" s="20" t="s">
        <v>409</v>
      </c>
      <c r="F82" s="21">
        <v>2</v>
      </c>
      <c r="G82" s="20" t="s">
        <v>410</v>
      </c>
      <c r="H82" s="21" t="s">
        <v>310</v>
      </c>
    </row>
    <row r="83" spans="1:8" ht="45" customHeight="1" x14ac:dyDescent="0.3">
      <c r="A83" s="20">
        <v>81</v>
      </c>
      <c r="B83" s="20" t="s">
        <v>396</v>
      </c>
      <c r="C83" s="19" t="s">
        <v>142</v>
      </c>
      <c r="D83" s="20" t="s">
        <v>210</v>
      </c>
      <c r="E83" s="20" t="s">
        <v>298</v>
      </c>
      <c r="F83" s="21" t="s">
        <v>297</v>
      </c>
      <c r="G83" s="20" t="s">
        <v>411</v>
      </c>
      <c r="H83" s="21" t="s">
        <v>313</v>
      </c>
    </row>
    <row r="84" spans="1:8" ht="79.5" customHeight="1" x14ac:dyDescent="0.3">
      <c r="A84" s="20">
        <v>82</v>
      </c>
      <c r="B84" s="20" t="s">
        <v>396</v>
      </c>
      <c r="C84" s="19" t="s">
        <v>142</v>
      </c>
      <c r="D84" s="20" t="s">
        <v>213</v>
      </c>
      <c r="E84" s="20" t="s">
        <v>299</v>
      </c>
      <c r="F84" s="21" t="s">
        <v>237</v>
      </c>
      <c r="G84" s="20" t="s">
        <v>412</v>
      </c>
      <c r="H84" s="21" t="s">
        <v>313</v>
      </c>
    </row>
    <row r="85" spans="1:8" ht="90.75" customHeight="1" x14ac:dyDescent="0.3">
      <c r="A85" s="20">
        <v>83</v>
      </c>
      <c r="B85" s="20" t="s">
        <v>396</v>
      </c>
      <c r="C85" s="19" t="s">
        <v>166</v>
      </c>
      <c r="D85" s="20" t="s">
        <v>216</v>
      </c>
      <c r="E85" s="20" t="s">
        <v>413</v>
      </c>
      <c r="F85" s="21" t="s">
        <v>217</v>
      </c>
      <c r="G85" s="20" t="s">
        <v>414</v>
      </c>
      <c r="H85" s="21" t="s">
        <v>310</v>
      </c>
    </row>
    <row r="86" spans="1:8" ht="33.75" customHeight="1" x14ac:dyDescent="0.3">
      <c r="A86" s="20">
        <v>84</v>
      </c>
      <c r="B86" s="20" t="s">
        <v>396</v>
      </c>
      <c r="C86" s="19" t="s">
        <v>170</v>
      </c>
      <c r="D86" s="20" t="s">
        <v>219</v>
      </c>
      <c r="E86" s="20" t="s">
        <v>301</v>
      </c>
      <c r="F86" s="21" t="s">
        <v>300</v>
      </c>
      <c r="G86" s="20" t="s">
        <v>415</v>
      </c>
      <c r="H86" s="21" t="s">
        <v>308</v>
      </c>
    </row>
  </sheetData>
  <autoFilter ref="A2:H86" xr:uid="{00000000-0001-0000-0300-000000000000}">
    <filterColumn colId="1">
      <filters>
        <filter val="D6 - IAM Federation"/>
      </filters>
    </filterColumn>
  </autoFilter>
  <mergeCells count="1">
    <mergeCell ref="A1:H1"/>
  </mergeCells>
  <dataValidations count="2">
    <dataValidation type="list" allowBlank="1" sqref="C3:C86" xr:uid="{00000000-0002-0000-0300-000000000000}">
      <formula1>"D1.1,D1.2,D1.3,D1.4,D2.OC,D2.RM,D2.RR,D2.PO,D2.OV,D2.SC,D2.FW,D2.X,D3.1,D3.2,D3.3,D3.4,D4.1,D4.2,D4.3,D4.4,D5.ID,D5.PR,D5.DE,D5.RS,D5.X,D6.AA,D6.IV,D6.AM,D6.SP,D6.AC,D6.UL,D6.IF,n/a (gap)"</formula1>
      <formula2>0</formula2>
    </dataValidation>
    <dataValidation type="list" allowBlank="1" sqref="H3:H86" xr:uid="{00000000-0002-0000-0300-000001000000}">
      <formula1>"Yes,Partial,Partial*,No"</formula1>
      <formula2>0</formula2>
    </dataValidation>
  </dataValidations>
  <pageMargins left="0.75" right="0.75" top="1" bottom="1" header="0.511811023622047" footer="0.511811023622047"/>
  <pageSetup paperSize="9" orientation="portrait" horizontalDpi="300" verticalDpi="30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17"/>
  <sheetViews>
    <sheetView zoomScaleNormal="100" workbookViewId="0">
      <selection activeCell="E10" sqref="E10"/>
    </sheetView>
  </sheetViews>
  <sheetFormatPr defaultColWidth="8.6640625" defaultRowHeight="14.4" x14ac:dyDescent="0.3"/>
  <cols>
    <col min="1" max="1" width="28" customWidth="1"/>
    <col min="2" max="2" width="20" customWidth="1"/>
    <col min="3" max="3" width="8" customWidth="1"/>
    <col min="4" max="9" width="9" customWidth="1"/>
  </cols>
  <sheetData>
    <row r="1" spans="1:9" ht="14.25" customHeight="1" x14ac:dyDescent="0.3">
      <c r="A1" s="69" t="s">
        <v>416</v>
      </c>
      <c r="B1" s="69"/>
      <c r="C1" s="69"/>
      <c r="D1" s="69"/>
      <c r="E1" s="69"/>
      <c r="F1" s="69"/>
      <c r="G1" s="69"/>
      <c r="H1" s="69"/>
      <c r="I1" s="69"/>
    </row>
    <row r="2" spans="1:9" ht="28.5" customHeight="1" x14ac:dyDescent="0.3">
      <c r="A2" s="69"/>
      <c r="B2" s="69"/>
      <c r="C2" s="69"/>
      <c r="D2" s="69"/>
      <c r="E2" s="69"/>
      <c r="F2" s="69"/>
      <c r="G2" s="69"/>
      <c r="H2" s="69"/>
      <c r="I2" s="69"/>
    </row>
    <row r="3" spans="1:9" ht="27.75" customHeight="1" x14ac:dyDescent="0.3">
      <c r="A3" s="26" t="s">
        <v>174</v>
      </c>
      <c r="B3" s="26" t="s">
        <v>417</v>
      </c>
      <c r="C3" s="26" t="s">
        <v>175</v>
      </c>
      <c r="D3" s="26" t="s">
        <v>17</v>
      </c>
      <c r="E3" s="26" t="s">
        <v>45</v>
      </c>
      <c r="F3" s="26" t="s">
        <v>81</v>
      </c>
      <c r="G3" s="26" t="s">
        <v>98</v>
      </c>
      <c r="H3" s="26" t="s">
        <v>115</v>
      </c>
      <c r="I3" s="26" t="s">
        <v>138</v>
      </c>
    </row>
    <row r="4" spans="1:9" x14ac:dyDescent="0.3">
      <c r="A4" s="20" t="s">
        <v>219</v>
      </c>
      <c r="B4" s="20" t="s">
        <v>418</v>
      </c>
      <c r="C4" s="21" t="s">
        <v>208</v>
      </c>
      <c r="D4" s="21" t="s">
        <v>310</v>
      </c>
      <c r="E4" s="58" t="s">
        <v>310</v>
      </c>
      <c r="F4" s="21" t="s">
        <v>313</v>
      </c>
      <c r="G4" s="21" t="s">
        <v>313</v>
      </c>
      <c r="H4" s="21" t="s">
        <v>313</v>
      </c>
      <c r="I4" s="53" t="s">
        <v>308</v>
      </c>
    </row>
    <row r="5" spans="1:9" x14ac:dyDescent="0.3">
      <c r="A5" s="20" t="s">
        <v>202</v>
      </c>
      <c r="B5" s="20" t="s">
        <v>419</v>
      </c>
      <c r="C5" s="21" t="s">
        <v>179</v>
      </c>
      <c r="D5" s="53" t="s">
        <v>308</v>
      </c>
      <c r="E5" s="58" t="s">
        <v>310</v>
      </c>
      <c r="F5" s="21" t="s">
        <v>313</v>
      </c>
      <c r="G5" s="21" t="s">
        <v>313</v>
      </c>
      <c r="H5" s="21" t="s">
        <v>313</v>
      </c>
      <c r="I5" s="21" t="s">
        <v>313</v>
      </c>
    </row>
    <row r="6" spans="1:9" x14ac:dyDescent="0.3">
      <c r="A6" s="20" t="s">
        <v>199</v>
      </c>
      <c r="B6" s="20" t="s">
        <v>420</v>
      </c>
      <c r="C6" s="21" t="s">
        <v>179</v>
      </c>
      <c r="D6" s="21" t="s">
        <v>310</v>
      </c>
      <c r="E6" s="58" t="s">
        <v>313</v>
      </c>
      <c r="F6" s="21" t="s">
        <v>313</v>
      </c>
      <c r="G6" s="21" t="s">
        <v>313</v>
      </c>
      <c r="H6" s="21" t="s">
        <v>310</v>
      </c>
      <c r="I6" s="53" t="s">
        <v>308</v>
      </c>
    </row>
    <row r="7" spans="1:9" x14ac:dyDescent="0.3">
      <c r="A7" s="20" t="s">
        <v>185</v>
      </c>
      <c r="B7" s="20" t="s">
        <v>421</v>
      </c>
      <c r="C7" s="21" t="s">
        <v>179</v>
      </c>
      <c r="D7" s="53" t="s">
        <v>308</v>
      </c>
      <c r="E7" s="58" t="s">
        <v>310</v>
      </c>
      <c r="F7" s="21" t="s">
        <v>313</v>
      </c>
      <c r="G7" s="53" t="s">
        <v>308</v>
      </c>
      <c r="H7" s="21" t="s">
        <v>313</v>
      </c>
      <c r="I7" s="53" t="s">
        <v>308</v>
      </c>
    </row>
    <row r="8" spans="1:9" x14ac:dyDescent="0.3">
      <c r="A8" s="20" t="s">
        <v>196</v>
      </c>
      <c r="B8" s="20" t="s">
        <v>422</v>
      </c>
      <c r="C8" s="21" t="s">
        <v>179</v>
      </c>
      <c r="D8" s="21" t="s">
        <v>310</v>
      </c>
      <c r="E8" s="58" t="s">
        <v>313</v>
      </c>
      <c r="F8" s="53" t="s">
        <v>308</v>
      </c>
      <c r="G8" s="53" t="s">
        <v>308</v>
      </c>
      <c r="H8" s="53" t="s">
        <v>308</v>
      </c>
      <c r="I8" s="21" t="s">
        <v>310</v>
      </c>
    </row>
    <row r="9" spans="1:9" x14ac:dyDescent="0.3">
      <c r="A9" s="20" t="s">
        <v>207</v>
      </c>
      <c r="B9" s="20" t="s">
        <v>418</v>
      </c>
      <c r="C9" s="21" t="s">
        <v>208</v>
      </c>
      <c r="D9" s="21" t="s">
        <v>310</v>
      </c>
      <c r="E9" s="59" t="s">
        <v>308</v>
      </c>
      <c r="F9" s="53" t="s">
        <v>308</v>
      </c>
      <c r="G9" s="53" t="s">
        <v>308</v>
      </c>
      <c r="H9" s="21" t="s">
        <v>310</v>
      </c>
      <c r="I9" s="21" t="s">
        <v>310</v>
      </c>
    </row>
    <row r="10" spans="1:9" x14ac:dyDescent="0.3">
      <c r="A10" s="20" t="s">
        <v>188</v>
      </c>
      <c r="B10" s="20" t="s">
        <v>420</v>
      </c>
      <c r="C10" s="21" t="s">
        <v>179</v>
      </c>
      <c r="D10" s="21" t="s">
        <v>313</v>
      </c>
      <c r="E10" s="59" t="s">
        <v>308</v>
      </c>
      <c r="F10" s="21" t="s">
        <v>313</v>
      </c>
      <c r="G10" s="21" t="s">
        <v>308</v>
      </c>
      <c r="H10" s="21" t="s">
        <v>313</v>
      </c>
      <c r="I10" s="53" t="s">
        <v>308</v>
      </c>
    </row>
    <row r="11" spans="1:9" x14ac:dyDescent="0.3">
      <c r="A11" s="20" t="s">
        <v>183</v>
      </c>
      <c r="B11" s="20" t="s">
        <v>423</v>
      </c>
      <c r="C11" s="21" t="s">
        <v>179</v>
      </c>
      <c r="D11" s="21" t="s">
        <v>310</v>
      </c>
      <c r="E11" s="58" t="s">
        <v>310</v>
      </c>
      <c r="F11" s="21" t="s">
        <v>313</v>
      </c>
      <c r="G11" s="21" t="s">
        <v>313</v>
      </c>
      <c r="H11" s="21" t="s">
        <v>313</v>
      </c>
      <c r="I11" s="21" t="s">
        <v>313</v>
      </c>
    </row>
    <row r="12" spans="1:9" x14ac:dyDescent="0.3">
      <c r="A12" s="20" t="s">
        <v>178</v>
      </c>
      <c r="B12" s="20" t="s">
        <v>420</v>
      </c>
      <c r="C12" s="21" t="s">
        <v>179</v>
      </c>
      <c r="D12" s="53" t="s">
        <v>308</v>
      </c>
      <c r="E12" s="58" t="s">
        <v>310</v>
      </c>
      <c r="F12" s="21" t="s">
        <v>313</v>
      </c>
      <c r="G12" s="53" t="s">
        <v>308</v>
      </c>
      <c r="H12" s="21" t="s">
        <v>313</v>
      </c>
      <c r="I12" s="53" t="s">
        <v>308</v>
      </c>
    </row>
    <row r="13" spans="1:9" x14ac:dyDescent="0.3">
      <c r="A13" s="20" t="s">
        <v>216</v>
      </c>
      <c r="B13" s="20" t="s">
        <v>424</v>
      </c>
      <c r="C13" s="21" t="s">
        <v>179</v>
      </c>
      <c r="D13" s="53" t="s">
        <v>308</v>
      </c>
      <c r="E13" s="58" t="s">
        <v>313</v>
      </c>
      <c r="F13" s="53" t="s">
        <v>308</v>
      </c>
      <c r="G13" s="53" t="s">
        <v>308</v>
      </c>
      <c r="H13" s="53" t="s">
        <v>308</v>
      </c>
      <c r="I13" s="21" t="s">
        <v>310</v>
      </c>
    </row>
    <row r="14" spans="1:9" x14ac:dyDescent="0.3">
      <c r="A14" s="54" t="s">
        <v>204</v>
      </c>
      <c r="B14" s="54" t="s">
        <v>425</v>
      </c>
      <c r="C14" s="55" t="s">
        <v>193</v>
      </c>
      <c r="D14" s="56" t="s">
        <v>308</v>
      </c>
      <c r="E14" s="57" t="s">
        <v>310</v>
      </c>
      <c r="F14" s="57" t="s">
        <v>310</v>
      </c>
      <c r="G14" s="55" t="s">
        <v>310</v>
      </c>
      <c r="H14" s="55" t="s">
        <v>313</v>
      </c>
      <c r="I14" s="55" t="s">
        <v>313</v>
      </c>
    </row>
    <row r="15" spans="1:9" x14ac:dyDescent="0.3">
      <c r="A15" s="54" t="s">
        <v>210</v>
      </c>
      <c r="B15" s="54" t="s">
        <v>426</v>
      </c>
      <c r="C15" s="55" t="s">
        <v>193</v>
      </c>
      <c r="D15" s="56" t="s">
        <v>308</v>
      </c>
      <c r="E15" s="57" t="s">
        <v>310</v>
      </c>
      <c r="F15" s="57" t="s">
        <v>310</v>
      </c>
      <c r="G15" s="55" t="s">
        <v>310</v>
      </c>
      <c r="H15" s="55" t="s">
        <v>310</v>
      </c>
      <c r="I15" s="55" t="s">
        <v>313</v>
      </c>
    </row>
    <row r="16" spans="1:9" x14ac:dyDescent="0.3">
      <c r="A16" s="54" t="s">
        <v>192</v>
      </c>
      <c r="B16" s="54" t="s">
        <v>427</v>
      </c>
      <c r="C16" s="55" t="s">
        <v>193</v>
      </c>
      <c r="D16" s="55" t="s">
        <v>315</v>
      </c>
      <c r="E16" s="57" t="s">
        <v>310</v>
      </c>
      <c r="F16" s="57" t="s">
        <v>310</v>
      </c>
      <c r="G16" s="55" t="s">
        <v>310</v>
      </c>
      <c r="H16" s="55" t="s">
        <v>310</v>
      </c>
      <c r="I16" s="55" t="s">
        <v>310</v>
      </c>
    </row>
    <row r="17" spans="1:9" ht="33.75" customHeight="1" x14ac:dyDescent="0.3">
      <c r="A17" s="54" t="s">
        <v>213</v>
      </c>
      <c r="B17" s="54" t="s">
        <v>428</v>
      </c>
      <c r="C17" s="55" t="s">
        <v>193</v>
      </c>
      <c r="D17" s="56" t="s">
        <v>308</v>
      </c>
      <c r="E17" s="57" t="s">
        <v>313</v>
      </c>
      <c r="F17" s="57" t="s">
        <v>310</v>
      </c>
      <c r="G17" s="56" t="s">
        <v>308</v>
      </c>
      <c r="H17" s="55" t="s">
        <v>313</v>
      </c>
      <c r="I17" s="55" t="s">
        <v>313</v>
      </c>
    </row>
  </sheetData>
  <mergeCells count="1">
    <mergeCell ref="A1:I2"/>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43"/>
  <sheetViews>
    <sheetView topLeftCell="A28" zoomScaleNormal="100" workbookViewId="0">
      <selection activeCell="I39" sqref="I39"/>
    </sheetView>
  </sheetViews>
  <sheetFormatPr defaultColWidth="8.6640625" defaultRowHeight="14.4" x14ac:dyDescent="0.3"/>
  <cols>
    <col min="1" max="1" width="17.21875" style="6" customWidth="1"/>
    <col min="2" max="2" width="28.109375" customWidth="1"/>
    <col min="3" max="3" width="41.88671875" style="6" customWidth="1"/>
    <col min="4" max="4" width="41.21875" customWidth="1"/>
  </cols>
  <sheetData>
    <row r="1" spans="1:3" ht="28.5" customHeight="1" x14ac:dyDescent="0.3">
      <c r="A1" s="70" t="s">
        <v>429</v>
      </c>
      <c r="B1" s="70"/>
      <c r="C1" s="70"/>
    </row>
    <row r="2" spans="1:3" ht="27" customHeight="1" x14ac:dyDescent="0.3">
      <c r="A2" s="26" t="s">
        <v>22</v>
      </c>
      <c r="B2" s="26" t="s">
        <v>23</v>
      </c>
      <c r="C2" s="26" t="s">
        <v>27</v>
      </c>
    </row>
    <row r="3" spans="1:3" x14ac:dyDescent="0.3">
      <c r="A3" s="21" t="s">
        <v>28</v>
      </c>
      <c r="B3" s="20" t="s">
        <v>29</v>
      </c>
      <c r="C3" s="21">
        <f>COUNTIF('Coding Book - Detail'!C:C,A3)</f>
        <v>7</v>
      </c>
    </row>
    <row r="4" spans="1:3" x14ac:dyDescent="0.3">
      <c r="A4" s="21" t="s">
        <v>33</v>
      </c>
      <c r="B4" s="20" t="s">
        <v>34</v>
      </c>
      <c r="C4" s="21">
        <f>COUNTIF('Coding Book - Detail'!C:C,A4)</f>
        <v>0</v>
      </c>
    </row>
    <row r="5" spans="1:3" ht="22.5" customHeight="1" x14ac:dyDescent="0.3">
      <c r="A5" s="21" t="s">
        <v>36</v>
      </c>
      <c r="B5" s="20" t="s">
        <v>37</v>
      </c>
      <c r="C5" s="21">
        <f>COUNTIF('Coding Book - Detail'!C:C,A5)</f>
        <v>5</v>
      </c>
    </row>
    <row r="6" spans="1:3" ht="22.5" customHeight="1" x14ac:dyDescent="0.3">
      <c r="A6" s="21" t="s">
        <v>41</v>
      </c>
      <c r="B6" s="20" t="s">
        <v>42</v>
      </c>
      <c r="C6" s="21">
        <f>COUNTIF('Coding Book - Detail'!C:C,A6)</f>
        <v>2</v>
      </c>
    </row>
    <row r="7" spans="1:3" x14ac:dyDescent="0.3">
      <c r="A7" s="21" t="s">
        <v>49</v>
      </c>
      <c r="B7" s="20" t="s">
        <v>50</v>
      </c>
      <c r="C7" s="21">
        <f>COUNTIF('Coding Book - Detail'!C:C,A7)</f>
        <v>0</v>
      </c>
    </row>
    <row r="8" spans="1:3" x14ac:dyDescent="0.3">
      <c r="A8" s="21" t="s">
        <v>53</v>
      </c>
      <c r="B8" s="20" t="s">
        <v>54</v>
      </c>
      <c r="C8" s="21">
        <f>COUNTIF('Coding Book - Detail'!C:C,A8)</f>
        <v>0</v>
      </c>
    </row>
    <row r="9" spans="1:3" ht="22.5" customHeight="1" x14ac:dyDescent="0.3">
      <c r="A9" s="21" t="s">
        <v>57</v>
      </c>
      <c r="B9" s="20" t="s">
        <v>58</v>
      </c>
      <c r="C9" s="21">
        <f>COUNTIF('Coding Book - Detail'!C:C,A9)</f>
        <v>0</v>
      </c>
    </row>
    <row r="10" spans="1:3" x14ac:dyDescent="0.3">
      <c r="A10" s="21" t="s">
        <v>61</v>
      </c>
      <c r="B10" s="20" t="s">
        <v>62</v>
      </c>
      <c r="C10" s="21">
        <f>COUNTIF('Coding Book - Detail'!C:C,A10)</f>
        <v>1</v>
      </c>
    </row>
    <row r="11" spans="1:3" x14ac:dyDescent="0.3">
      <c r="A11" s="21" t="s">
        <v>65</v>
      </c>
      <c r="B11" s="20" t="s">
        <v>66</v>
      </c>
      <c r="C11" s="21">
        <f>COUNTIF('Coding Book - Detail'!C:C,A11)</f>
        <v>0</v>
      </c>
    </row>
    <row r="12" spans="1:3" ht="22.5" customHeight="1" x14ac:dyDescent="0.3">
      <c r="A12" s="21" t="s">
        <v>69</v>
      </c>
      <c r="B12" s="20" t="s">
        <v>70</v>
      </c>
      <c r="C12" s="21">
        <f>COUNTIF('Coding Book - Detail'!C:C,A12)</f>
        <v>0</v>
      </c>
    </row>
    <row r="13" spans="1:3" ht="22.5" customHeight="1" x14ac:dyDescent="0.3">
      <c r="A13" s="21" t="s">
        <v>73</v>
      </c>
      <c r="B13" s="20" t="s">
        <v>74</v>
      </c>
      <c r="C13" s="21">
        <f>COUNTIF('Coding Book - Detail'!C:C,A13)</f>
        <v>7</v>
      </c>
    </row>
    <row r="14" spans="1:3" ht="22.5" customHeight="1" x14ac:dyDescent="0.3">
      <c r="A14" s="21" t="s">
        <v>77</v>
      </c>
      <c r="B14" s="20" t="s">
        <v>78</v>
      </c>
      <c r="C14" s="21">
        <f>COUNTIF('Coding Book - Detail'!C:C,A14)</f>
        <v>4</v>
      </c>
    </row>
    <row r="15" spans="1:3" ht="22.5" customHeight="1" x14ac:dyDescent="0.3">
      <c r="A15" s="21" t="s">
        <v>85</v>
      </c>
      <c r="B15" s="20" t="s">
        <v>86</v>
      </c>
      <c r="C15" s="21">
        <f>COUNTIF('Coding Book - Detail'!C:C,A15)</f>
        <v>4</v>
      </c>
    </row>
    <row r="16" spans="1:3" ht="22.5" customHeight="1" x14ac:dyDescent="0.3">
      <c r="A16" s="21" t="s">
        <v>89</v>
      </c>
      <c r="B16" s="20" t="s">
        <v>90</v>
      </c>
      <c r="C16" s="21">
        <f>COUNTIF('Coding Book - Detail'!C:C,A16)</f>
        <v>0</v>
      </c>
    </row>
    <row r="17" spans="1:3" ht="22.5" customHeight="1" x14ac:dyDescent="0.3">
      <c r="A17" s="21" t="s">
        <v>92</v>
      </c>
      <c r="B17" s="20" t="s">
        <v>93</v>
      </c>
      <c r="C17" s="21">
        <f>COUNTIF('Coding Book - Detail'!C:C,A17)</f>
        <v>0</v>
      </c>
    </row>
    <row r="18" spans="1:3" ht="22.5" customHeight="1" x14ac:dyDescent="0.3">
      <c r="A18" s="21" t="s">
        <v>95</v>
      </c>
      <c r="B18" s="20" t="s">
        <v>96</v>
      </c>
      <c r="C18" s="21">
        <f>COUNTIF('Coding Book - Detail'!C:C,A18)</f>
        <v>7</v>
      </c>
    </row>
    <row r="19" spans="1:3" x14ac:dyDescent="0.3">
      <c r="A19" s="21" t="s">
        <v>102</v>
      </c>
      <c r="B19" s="20" t="s">
        <v>103</v>
      </c>
      <c r="C19" s="21">
        <f>COUNTIF('Coding Book - Detail'!C:C,A19)</f>
        <v>0</v>
      </c>
    </row>
    <row r="20" spans="1:3" x14ac:dyDescent="0.3">
      <c r="A20" s="21" t="s">
        <v>106</v>
      </c>
      <c r="B20" s="20" t="s">
        <v>107</v>
      </c>
      <c r="C20" s="21">
        <f>COUNTIF('Coding Book - Detail'!C:C,A20)</f>
        <v>0</v>
      </c>
    </row>
    <row r="21" spans="1:3" ht="22.5" customHeight="1" x14ac:dyDescent="0.3">
      <c r="A21" s="21" t="s">
        <v>109</v>
      </c>
      <c r="B21" s="20" t="s">
        <v>110</v>
      </c>
      <c r="C21" s="21">
        <f>COUNTIF('Coding Book - Detail'!C:C,A21)</f>
        <v>4</v>
      </c>
    </row>
    <row r="22" spans="1:3" x14ac:dyDescent="0.3">
      <c r="A22" s="21" t="s">
        <v>112</v>
      </c>
      <c r="B22" s="20" t="s">
        <v>113</v>
      </c>
      <c r="C22" s="21">
        <f>COUNTIF('Coding Book - Detail'!C:C,A22)</f>
        <v>3</v>
      </c>
    </row>
    <row r="23" spans="1:3" x14ac:dyDescent="0.3">
      <c r="A23" s="21" t="s">
        <v>119</v>
      </c>
      <c r="B23" s="20" t="s">
        <v>120</v>
      </c>
      <c r="C23" s="21">
        <f>COUNTIF('Coding Book - Detail'!C:C,A23)</f>
        <v>4</v>
      </c>
    </row>
    <row r="24" spans="1:3" x14ac:dyDescent="0.3">
      <c r="A24" s="21" t="s">
        <v>123</v>
      </c>
      <c r="B24" s="20" t="s">
        <v>124</v>
      </c>
      <c r="C24" s="21">
        <f>COUNTIF('Coding Book - Detail'!C:C,A24)</f>
        <v>0</v>
      </c>
    </row>
    <row r="25" spans="1:3" ht="22.5" customHeight="1" x14ac:dyDescent="0.3">
      <c r="A25" s="21" t="s">
        <v>127</v>
      </c>
      <c r="B25" s="20" t="s">
        <v>128</v>
      </c>
      <c r="C25" s="21">
        <f>COUNTIF('Coding Book - Detail'!C:C,A25)</f>
        <v>6</v>
      </c>
    </row>
    <row r="26" spans="1:3" x14ac:dyDescent="0.3">
      <c r="A26" s="21" t="s">
        <v>131</v>
      </c>
      <c r="B26" s="20" t="s">
        <v>132</v>
      </c>
      <c r="C26" s="21">
        <f>COUNTIF('Coding Book - Detail'!C:C,A26)</f>
        <v>0</v>
      </c>
    </row>
    <row r="27" spans="1:3" ht="22.5" customHeight="1" x14ac:dyDescent="0.3">
      <c r="A27" s="21" t="s">
        <v>135</v>
      </c>
      <c r="B27" s="20" t="s">
        <v>136</v>
      </c>
      <c r="C27" s="21">
        <f>COUNTIF('Coding Book - Detail'!C:C,A27)</f>
        <v>2</v>
      </c>
    </row>
    <row r="28" spans="1:3" x14ac:dyDescent="0.3">
      <c r="A28" s="21" t="s">
        <v>142</v>
      </c>
      <c r="B28" s="20" t="s">
        <v>143</v>
      </c>
      <c r="C28" s="21">
        <f>COUNTIF('Coding Book - Detail'!C:C,A28)</f>
        <v>4</v>
      </c>
    </row>
    <row r="29" spans="1:3" x14ac:dyDescent="0.3">
      <c r="A29" s="21" t="s">
        <v>146</v>
      </c>
      <c r="B29" s="20" t="s">
        <v>147</v>
      </c>
      <c r="C29" s="21">
        <f>COUNTIF('Coding Book - Detail'!C:C,A29)</f>
        <v>0</v>
      </c>
    </row>
    <row r="30" spans="1:3" x14ac:dyDescent="0.3">
      <c r="A30" s="21" t="s">
        <v>150</v>
      </c>
      <c r="B30" s="20" t="s">
        <v>151</v>
      </c>
      <c r="C30" s="21">
        <f>COUNTIF('Coding Book - Detail'!C:C,A30)</f>
        <v>0</v>
      </c>
    </row>
    <row r="31" spans="1:3" x14ac:dyDescent="0.3">
      <c r="A31" s="21" t="s">
        <v>154</v>
      </c>
      <c r="B31" s="20" t="s">
        <v>155</v>
      </c>
      <c r="C31" s="21">
        <f>COUNTIF('Coding Book - Detail'!C:C,A31)</f>
        <v>0</v>
      </c>
    </row>
    <row r="32" spans="1:3" x14ac:dyDescent="0.3">
      <c r="A32" s="21" t="s">
        <v>158</v>
      </c>
      <c r="B32" s="20" t="s">
        <v>159</v>
      </c>
      <c r="C32" s="21">
        <f>COUNTIF('Coding Book - Detail'!C:C,A32)</f>
        <v>0</v>
      </c>
    </row>
    <row r="33" spans="1:4" x14ac:dyDescent="0.3">
      <c r="A33" s="21" t="s">
        <v>162</v>
      </c>
      <c r="B33" s="20" t="s">
        <v>163</v>
      </c>
      <c r="C33" s="21">
        <f>COUNTIF('Coding Book - Detail'!C:C,A33)</f>
        <v>0</v>
      </c>
    </row>
    <row r="34" spans="1:4" x14ac:dyDescent="0.3">
      <c r="A34" s="21" t="s">
        <v>166</v>
      </c>
      <c r="B34" s="20" t="s">
        <v>167</v>
      </c>
      <c r="C34" s="21">
        <f>COUNTIF('Coding Book - Detail'!C:C,A34)</f>
        <v>5</v>
      </c>
    </row>
    <row r="35" spans="1:4" ht="22.5" customHeight="1" x14ac:dyDescent="0.3">
      <c r="A35" s="21" t="s">
        <v>170</v>
      </c>
      <c r="B35" s="20" t="s">
        <v>430</v>
      </c>
      <c r="C35" s="21">
        <f>COUNTIF('Coding Book - Detail'!C:C,A35)</f>
        <v>19</v>
      </c>
    </row>
    <row r="37" spans="1:4" ht="69" customHeight="1" x14ac:dyDescent="0.3">
      <c r="A37" s="71" t="s">
        <v>537</v>
      </c>
      <c r="B37" s="72"/>
      <c r="C37" s="72"/>
    </row>
    <row r="38" spans="1:4" x14ac:dyDescent="0.3">
      <c r="A38" s="26" t="s">
        <v>431</v>
      </c>
      <c r="B38" s="26" t="s">
        <v>302</v>
      </c>
      <c r="C38" s="26" t="s">
        <v>432</v>
      </c>
    </row>
    <row r="39" spans="1:4" ht="57.6" x14ac:dyDescent="0.3">
      <c r="A39" s="27" t="s">
        <v>433</v>
      </c>
      <c r="B39" s="21" t="s">
        <v>17</v>
      </c>
      <c r="C39" s="27" t="s">
        <v>434</v>
      </c>
      <c r="D39" s="1" t="s">
        <v>538</v>
      </c>
    </row>
    <row r="40" spans="1:4" ht="33.75" customHeight="1" x14ac:dyDescent="0.3">
      <c r="A40" s="27" t="s">
        <v>435</v>
      </c>
      <c r="B40" s="21" t="s">
        <v>81</v>
      </c>
      <c r="C40" s="27" t="s">
        <v>436</v>
      </c>
      <c r="D40" s="1" t="s">
        <v>539</v>
      </c>
    </row>
    <row r="41" spans="1:4" ht="45" customHeight="1" x14ac:dyDescent="0.3">
      <c r="A41" s="27" t="s">
        <v>437</v>
      </c>
      <c r="B41" s="21" t="s">
        <v>98</v>
      </c>
      <c r="C41" s="27" t="s">
        <v>438</v>
      </c>
      <c r="D41" s="1"/>
    </row>
    <row r="42" spans="1:4" ht="33.75" customHeight="1" x14ac:dyDescent="0.3">
      <c r="A42" s="27" t="s">
        <v>439</v>
      </c>
      <c r="B42" s="21" t="s">
        <v>115</v>
      </c>
      <c r="C42" s="27" t="s">
        <v>440</v>
      </c>
      <c r="D42" s="1"/>
    </row>
    <row r="43" spans="1:4" ht="45" customHeight="1" x14ac:dyDescent="0.3">
      <c r="A43" s="27" t="s">
        <v>441</v>
      </c>
      <c r="B43" s="21" t="s">
        <v>138</v>
      </c>
      <c r="C43" s="27" t="s">
        <v>442</v>
      </c>
      <c r="D43" s="1"/>
    </row>
  </sheetData>
  <mergeCells count="2">
    <mergeCell ref="A1:C1"/>
    <mergeCell ref="A37:C37"/>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3"/>
  <sheetViews>
    <sheetView zoomScale="145" zoomScaleNormal="145" workbookViewId="0">
      <selection activeCell="H13" sqref="H13"/>
    </sheetView>
  </sheetViews>
  <sheetFormatPr defaultColWidth="8.77734375" defaultRowHeight="14.4" x14ac:dyDescent="0.3"/>
  <cols>
    <col min="1" max="1" width="22" customWidth="1"/>
    <col min="2" max="2" width="14" customWidth="1"/>
    <col min="3" max="3" width="15.6640625" customWidth="1"/>
    <col min="4" max="4" width="17.44140625" customWidth="1"/>
    <col min="5" max="5" width="14.109375" customWidth="1"/>
  </cols>
  <sheetData>
    <row r="1" spans="1:5" ht="15" customHeight="1" x14ac:dyDescent="0.3">
      <c r="A1" s="73" t="s">
        <v>443</v>
      </c>
      <c r="B1" s="73"/>
      <c r="C1" s="73"/>
      <c r="D1" s="73"/>
    </row>
    <row r="2" spans="1:5" ht="14.25" customHeight="1" x14ac:dyDescent="0.3">
      <c r="A2" s="74" t="s">
        <v>444</v>
      </c>
      <c r="B2" s="74"/>
      <c r="C2" s="74"/>
      <c r="D2" s="74"/>
    </row>
    <row r="3" spans="1:5" x14ac:dyDescent="0.3">
      <c r="A3" s="74"/>
      <c r="B3" s="74"/>
      <c r="C3" s="74"/>
      <c r="D3" s="74"/>
    </row>
    <row r="4" spans="1:5" ht="27" customHeight="1" x14ac:dyDescent="0.3">
      <c r="A4" s="28" t="s">
        <v>445</v>
      </c>
      <c r="B4" s="28" t="s">
        <v>446</v>
      </c>
      <c r="C4" s="29" t="s">
        <v>447</v>
      </c>
      <c r="D4" s="30" t="s">
        <v>448</v>
      </c>
    </row>
    <row r="5" spans="1:5" x14ac:dyDescent="0.3">
      <c r="A5" s="31" t="s">
        <v>449</v>
      </c>
      <c r="B5" s="32" t="s">
        <v>450</v>
      </c>
      <c r="C5" s="32">
        <v>45</v>
      </c>
      <c r="D5" s="33">
        <v>45</v>
      </c>
    </row>
    <row r="6" spans="1:5" x14ac:dyDescent="0.3">
      <c r="A6" s="34" t="s">
        <v>451</v>
      </c>
      <c r="B6" s="35" t="s">
        <v>450</v>
      </c>
      <c r="C6" s="35">
        <v>134</v>
      </c>
      <c r="D6" s="35">
        <v>134</v>
      </c>
    </row>
    <row r="7" spans="1:5" x14ac:dyDescent="0.3">
      <c r="A7" s="31" t="s">
        <v>452</v>
      </c>
      <c r="B7" s="32" t="s">
        <v>450</v>
      </c>
      <c r="C7" s="32">
        <v>423</v>
      </c>
      <c r="D7" s="33">
        <v>423</v>
      </c>
    </row>
    <row r="8" spans="1:5" x14ac:dyDescent="0.3">
      <c r="A8" s="34" t="s">
        <v>453</v>
      </c>
      <c r="B8" s="35" t="s">
        <v>450</v>
      </c>
      <c r="C8" s="35">
        <v>217</v>
      </c>
      <c r="D8" s="35">
        <v>217</v>
      </c>
    </row>
    <row r="9" spans="1:5" x14ac:dyDescent="0.3">
      <c r="A9" s="31" t="s">
        <v>454</v>
      </c>
      <c r="B9" s="32" t="s">
        <v>450</v>
      </c>
      <c r="C9" s="32">
        <v>996</v>
      </c>
      <c r="D9" s="33">
        <v>777</v>
      </c>
    </row>
    <row r="10" spans="1:5" x14ac:dyDescent="0.3">
      <c r="A10" s="36" t="s">
        <v>455</v>
      </c>
      <c r="B10" s="37" t="s">
        <v>450</v>
      </c>
      <c r="C10" s="37">
        <v>3</v>
      </c>
      <c r="D10" s="37">
        <v>3</v>
      </c>
    </row>
    <row r="11" spans="1:5" x14ac:dyDescent="0.3">
      <c r="A11" s="31" t="s">
        <v>456</v>
      </c>
      <c r="B11" s="32" t="s">
        <v>182</v>
      </c>
      <c r="C11" s="32">
        <f>SUM(C5:C10)</f>
        <v>1818</v>
      </c>
      <c r="D11" s="33">
        <f>SUM(D5:D10)</f>
        <v>1599</v>
      </c>
      <c r="E11" s="38" t="s">
        <v>457</v>
      </c>
    </row>
    <row r="12" spans="1:5" ht="14.25" customHeight="1" x14ac:dyDescent="0.3">
      <c r="A12" s="75" t="s">
        <v>458</v>
      </c>
      <c r="B12" s="75"/>
      <c r="C12" s="75"/>
      <c r="D12" s="75"/>
    </row>
    <row r="13" spans="1:5" ht="96.75" customHeight="1" x14ac:dyDescent="0.3">
      <c r="A13" s="76" t="s">
        <v>459</v>
      </c>
      <c r="B13" s="76"/>
      <c r="C13" s="76"/>
      <c r="D13" s="76"/>
    </row>
  </sheetData>
  <mergeCells count="4">
    <mergeCell ref="A1:D1"/>
    <mergeCell ref="A2:D3"/>
    <mergeCell ref="A12:D12"/>
    <mergeCell ref="A13:D13"/>
  </mergeCells>
  <pageMargins left="0.75" right="0.75" top="1" bottom="1" header="0.511811023622047" footer="0.511811023622047"/>
  <pageSetup paperSize="9" orientation="portrait" horizontalDpi="300" verticalDpi="300"/>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0"/>
  <sheetViews>
    <sheetView zoomScaleNormal="100" workbookViewId="0">
      <selection activeCell="E13" sqref="E13"/>
    </sheetView>
  </sheetViews>
  <sheetFormatPr defaultColWidth="8.77734375" defaultRowHeight="14.4" x14ac:dyDescent="0.3"/>
  <cols>
    <col min="1" max="1" width="46.33203125" style="39" customWidth="1"/>
    <col min="2" max="2" width="26.109375" style="39" customWidth="1"/>
    <col min="3" max="3" width="5.6640625" style="39" customWidth="1"/>
    <col min="4" max="4" width="7.77734375" style="39" customWidth="1"/>
    <col min="5" max="5" width="78.6640625" style="39" customWidth="1"/>
    <col min="6" max="16384" width="8.77734375" style="39"/>
  </cols>
  <sheetData>
    <row r="1" spans="1:5" ht="27.75" customHeight="1" x14ac:dyDescent="0.3">
      <c r="A1" s="80" t="s">
        <v>460</v>
      </c>
      <c r="B1" s="80"/>
      <c r="C1" s="80"/>
      <c r="D1" s="80"/>
      <c r="E1" s="80"/>
    </row>
    <row r="2" spans="1:5" x14ac:dyDescent="0.3">
      <c r="A2" s="81" t="s">
        <v>461</v>
      </c>
      <c r="B2" s="81"/>
      <c r="C2" s="81"/>
      <c r="D2" s="81"/>
      <c r="E2" s="81"/>
    </row>
    <row r="3" spans="1:5" x14ac:dyDescent="0.3">
      <c r="A3" s="40" t="s">
        <v>462</v>
      </c>
      <c r="B3" s="41">
        <v>1599</v>
      </c>
      <c r="C3" s="82" t="s">
        <v>463</v>
      </c>
      <c r="D3" s="82"/>
      <c r="E3" s="82"/>
    </row>
    <row r="4" spans="1:5" x14ac:dyDescent="0.3">
      <c r="A4" s="42" t="s">
        <v>464</v>
      </c>
      <c r="B4" s="43">
        <v>1583</v>
      </c>
      <c r="C4" s="77" t="s">
        <v>465</v>
      </c>
      <c r="D4" s="77"/>
      <c r="E4" s="77"/>
    </row>
    <row r="5" spans="1:5" ht="23.25" customHeight="1" x14ac:dyDescent="0.3">
      <c r="A5" s="40" t="s">
        <v>466</v>
      </c>
      <c r="B5" s="41">
        <f>B3-B4</f>
        <v>16</v>
      </c>
      <c r="C5" s="83" t="s">
        <v>467</v>
      </c>
      <c r="D5" s="83"/>
      <c r="E5" s="83"/>
    </row>
    <row r="6" spans="1:5" x14ac:dyDescent="0.3">
      <c r="A6" s="42" t="s">
        <v>468</v>
      </c>
      <c r="B6" s="43">
        <v>6</v>
      </c>
      <c r="C6" s="77" t="s">
        <v>469</v>
      </c>
      <c r="D6" s="77"/>
      <c r="E6" s="77"/>
    </row>
    <row r="7" spans="1:5" x14ac:dyDescent="0.3">
      <c r="A7" s="44" t="s">
        <v>470</v>
      </c>
      <c r="B7" s="78" t="s">
        <v>471</v>
      </c>
      <c r="C7" s="78"/>
      <c r="D7" s="78"/>
      <c r="E7" s="78"/>
    </row>
    <row r="8" spans="1:5" ht="15" customHeight="1" x14ac:dyDescent="0.3">
      <c r="A8" s="45"/>
    </row>
    <row r="9" spans="1:5" x14ac:dyDescent="0.3">
      <c r="A9" s="79" t="s">
        <v>472</v>
      </c>
      <c r="B9" s="79"/>
      <c r="C9" s="79"/>
      <c r="D9" s="79"/>
      <c r="E9" s="79"/>
    </row>
    <row r="10" spans="1:5" ht="31.5" customHeight="1" x14ac:dyDescent="0.3">
      <c r="A10" s="46" t="s">
        <v>473</v>
      </c>
      <c r="B10" s="46" t="s">
        <v>474</v>
      </c>
      <c r="C10" s="46" t="s">
        <v>475</v>
      </c>
      <c r="D10" s="46" t="s">
        <v>476</v>
      </c>
      <c r="E10" s="46" t="s">
        <v>477</v>
      </c>
    </row>
    <row r="11" spans="1:5" ht="27" customHeight="1" x14ac:dyDescent="0.3">
      <c r="A11" s="47" t="s">
        <v>478</v>
      </c>
      <c r="B11" s="47" t="s">
        <v>479</v>
      </c>
      <c r="C11" s="48" t="s">
        <v>480</v>
      </c>
      <c r="D11" s="48" t="s">
        <v>481</v>
      </c>
      <c r="E11" s="47" t="s">
        <v>182</v>
      </c>
    </row>
    <row r="12" spans="1:5" ht="27" customHeight="1" x14ac:dyDescent="0.3">
      <c r="A12" s="49" t="s">
        <v>482</v>
      </c>
      <c r="B12" s="49" t="s">
        <v>483</v>
      </c>
      <c r="C12" s="48" t="s">
        <v>484</v>
      </c>
      <c r="D12" s="50" t="s">
        <v>481</v>
      </c>
      <c r="E12" s="49" t="s">
        <v>182</v>
      </c>
    </row>
    <row r="13" spans="1:5" ht="27" customHeight="1" x14ac:dyDescent="0.3">
      <c r="A13" s="47" t="s">
        <v>485</v>
      </c>
      <c r="B13" s="47" t="s">
        <v>486</v>
      </c>
      <c r="C13" s="48" t="s">
        <v>487</v>
      </c>
      <c r="D13" s="48" t="s">
        <v>481</v>
      </c>
      <c r="E13" s="47" t="s">
        <v>182</v>
      </c>
    </row>
    <row r="14" spans="1:5" ht="41.25" customHeight="1" x14ac:dyDescent="0.3">
      <c r="A14" s="49" t="s">
        <v>488</v>
      </c>
      <c r="B14" s="49" t="s">
        <v>489</v>
      </c>
      <c r="C14" s="48" t="s">
        <v>480</v>
      </c>
      <c r="D14" s="50" t="s">
        <v>481</v>
      </c>
      <c r="E14" s="49" t="s">
        <v>182</v>
      </c>
    </row>
    <row r="15" spans="1:5" ht="41.25" customHeight="1" x14ac:dyDescent="0.3">
      <c r="A15" s="47" t="s">
        <v>490</v>
      </c>
      <c r="B15" s="47" t="s">
        <v>491</v>
      </c>
      <c r="C15" s="48" t="s">
        <v>480</v>
      </c>
      <c r="D15" s="48" t="s">
        <v>481</v>
      </c>
      <c r="E15" s="47" t="s">
        <v>182</v>
      </c>
    </row>
    <row r="16" spans="1:5" ht="27" customHeight="1" x14ac:dyDescent="0.3">
      <c r="A16" s="49" t="s">
        <v>492</v>
      </c>
      <c r="B16" s="49" t="s">
        <v>493</v>
      </c>
      <c r="C16" s="48" t="s">
        <v>480</v>
      </c>
      <c r="D16" s="50" t="s">
        <v>481</v>
      </c>
      <c r="E16" s="49" t="s">
        <v>182</v>
      </c>
    </row>
    <row r="17" spans="1:5" ht="27" customHeight="1" x14ac:dyDescent="0.3">
      <c r="A17" s="47" t="s">
        <v>494</v>
      </c>
      <c r="B17" s="47" t="s">
        <v>495</v>
      </c>
      <c r="C17" s="48" t="s">
        <v>496</v>
      </c>
      <c r="D17" s="48" t="s">
        <v>481</v>
      </c>
      <c r="E17" s="47" t="s">
        <v>182</v>
      </c>
    </row>
    <row r="18" spans="1:5" ht="27" customHeight="1" x14ac:dyDescent="0.3">
      <c r="A18" s="49" t="s">
        <v>497</v>
      </c>
      <c r="B18" s="49" t="s">
        <v>498</v>
      </c>
      <c r="C18" s="48" t="s">
        <v>487</v>
      </c>
      <c r="D18" s="50" t="s">
        <v>481</v>
      </c>
      <c r="E18" s="49" t="s">
        <v>182</v>
      </c>
    </row>
    <row r="19" spans="1:5" ht="27" customHeight="1" x14ac:dyDescent="0.3">
      <c r="A19" s="47" t="s">
        <v>499</v>
      </c>
      <c r="B19" s="47" t="s">
        <v>500</v>
      </c>
      <c r="C19" s="48" t="s">
        <v>501</v>
      </c>
      <c r="D19" s="48" t="s">
        <v>481</v>
      </c>
      <c r="E19" s="47" t="s">
        <v>502</v>
      </c>
    </row>
    <row r="20" spans="1:5" x14ac:dyDescent="0.3">
      <c r="A20" s="49" t="s">
        <v>503</v>
      </c>
      <c r="B20" s="49" t="s">
        <v>504</v>
      </c>
      <c r="C20" s="48" t="s">
        <v>480</v>
      </c>
      <c r="D20" s="50" t="s">
        <v>481</v>
      </c>
      <c r="E20" s="49" t="s">
        <v>502</v>
      </c>
    </row>
    <row r="21" spans="1:5" x14ac:dyDescent="0.3">
      <c r="A21" s="47" t="s">
        <v>505</v>
      </c>
      <c r="B21" s="47" t="s">
        <v>506</v>
      </c>
      <c r="C21" s="48" t="s">
        <v>496</v>
      </c>
      <c r="D21" s="48" t="s">
        <v>481</v>
      </c>
      <c r="E21" s="47" t="s">
        <v>502</v>
      </c>
    </row>
    <row r="22" spans="1:5" ht="27" customHeight="1" x14ac:dyDescent="0.3">
      <c r="A22" s="49" t="s">
        <v>507</v>
      </c>
      <c r="B22" s="49" t="s">
        <v>508</v>
      </c>
      <c r="C22" s="48" t="s">
        <v>509</v>
      </c>
      <c r="D22" s="50" t="s">
        <v>481</v>
      </c>
      <c r="E22" s="49" t="s">
        <v>510</v>
      </c>
    </row>
    <row r="23" spans="1:5" ht="27" customHeight="1" x14ac:dyDescent="0.3">
      <c r="A23" s="49" t="s">
        <v>511</v>
      </c>
      <c r="B23" s="49" t="s">
        <v>512</v>
      </c>
      <c r="C23" s="48">
        <v>2020</v>
      </c>
      <c r="D23" s="50" t="s">
        <v>481</v>
      </c>
      <c r="E23" s="49" t="s">
        <v>513</v>
      </c>
    </row>
    <row r="24" spans="1:5" ht="27" customHeight="1" x14ac:dyDescent="0.3">
      <c r="A24" s="49" t="s">
        <v>514</v>
      </c>
      <c r="B24" s="49" t="s">
        <v>515</v>
      </c>
      <c r="C24" s="48">
        <v>2021</v>
      </c>
      <c r="D24" s="50" t="s">
        <v>481</v>
      </c>
      <c r="E24" s="49" t="s">
        <v>513</v>
      </c>
    </row>
    <row r="25" spans="1:5" ht="27" customHeight="1" x14ac:dyDescent="0.3">
      <c r="A25" s="51" t="s">
        <v>516</v>
      </c>
      <c r="B25" s="51" t="s">
        <v>517</v>
      </c>
      <c r="C25" s="52">
        <v>2023</v>
      </c>
      <c r="D25" s="52" t="s">
        <v>518</v>
      </c>
      <c r="E25" s="51" t="s">
        <v>519</v>
      </c>
    </row>
    <row r="26" spans="1:5" ht="27" customHeight="1" x14ac:dyDescent="0.3">
      <c r="A26" s="51" t="s">
        <v>520</v>
      </c>
      <c r="B26" s="51" t="s">
        <v>521</v>
      </c>
      <c r="C26" s="52">
        <v>2020</v>
      </c>
      <c r="D26" s="52" t="s">
        <v>518</v>
      </c>
      <c r="E26" s="51" t="s">
        <v>522</v>
      </c>
    </row>
    <row r="27" spans="1:5" ht="27" customHeight="1" x14ac:dyDescent="0.3">
      <c r="A27" s="51" t="s">
        <v>523</v>
      </c>
      <c r="B27" s="51" t="s">
        <v>524</v>
      </c>
      <c r="C27" s="52">
        <v>2021</v>
      </c>
      <c r="D27" s="52" t="s">
        <v>518</v>
      </c>
      <c r="E27" s="51" t="s">
        <v>525</v>
      </c>
    </row>
    <row r="28" spans="1:5" x14ac:dyDescent="0.3">
      <c r="A28" s="51" t="s">
        <v>526</v>
      </c>
      <c r="B28" s="51" t="s">
        <v>527</v>
      </c>
      <c r="C28" s="52">
        <v>2023</v>
      </c>
      <c r="D28" s="52" t="s">
        <v>518</v>
      </c>
      <c r="E28" s="51" t="s">
        <v>528</v>
      </c>
    </row>
    <row r="29" spans="1:5" x14ac:dyDescent="0.3">
      <c r="A29" s="51" t="s">
        <v>529</v>
      </c>
      <c r="B29" s="51" t="s">
        <v>530</v>
      </c>
      <c r="C29" s="52">
        <v>2023</v>
      </c>
      <c r="D29" s="52" t="s">
        <v>518</v>
      </c>
      <c r="E29" s="51" t="s">
        <v>531</v>
      </c>
    </row>
    <row r="30" spans="1:5" ht="27" customHeight="1" x14ac:dyDescent="0.3">
      <c r="A30" s="51" t="s">
        <v>532</v>
      </c>
      <c r="B30" s="51" t="s">
        <v>533</v>
      </c>
      <c r="C30" s="52">
        <v>2021</v>
      </c>
      <c r="D30" s="52" t="s">
        <v>518</v>
      </c>
      <c r="E30" s="51" t="s">
        <v>534</v>
      </c>
    </row>
  </sheetData>
  <mergeCells count="8">
    <mergeCell ref="C6:E6"/>
    <mergeCell ref="B7:E7"/>
    <mergeCell ref="A9:E9"/>
    <mergeCell ref="A1:E1"/>
    <mergeCell ref="A2:E2"/>
    <mergeCell ref="C3:E3"/>
    <mergeCell ref="C4:E4"/>
    <mergeCell ref="C5:E5"/>
  </mergeCells>
  <pageMargins left="0.75" right="0.75" top="1" bottom="1" header="0.511811023622047" footer="0.511811023622047"/>
  <pageSetup paperSize="9" orientation="portrait" horizontalDpi="300" verticalDpi="300"/>
  <legacyDrawing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 ME &amp; Method</vt:lpstr>
      <vt:lpstr>Codebook</vt:lpstr>
      <vt:lpstr>Coding Form (Seg x Dim)</vt:lpstr>
      <vt:lpstr>Coding Book - Detail</vt:lpstr>
      <vt:lpstr>Coverage Matrix</vt:lpstr>
      <vt:lpstr>Frequency &amp; Themes</vt:lpstr>
      <vt:lpstr>PRISMA Search Log</vt:lpstr>
      <vt:lpstr>PRISMA Screening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Sahel Saba</cp:lastModifiedBy>
  <cp:revision>0</cp:revision>
  <dcterms:created xsi:type="dcterms:W3CDTF">2026-07-15T18:07:36Z</dcterms:created>
  <dcterms:modified xsi:type="dcterms:W3CDTF">2026-07-18T10:55:28Z</dcterms:modified>
  <dc:language>en-US</dc:language>
</cp:coreProperties>
</file>